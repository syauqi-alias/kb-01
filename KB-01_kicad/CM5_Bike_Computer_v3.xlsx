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in Mapping" sheetId="1" state="visible" r:id="rId3"/>
    <sheet name="Bus Summary" sheetId="2" state="visible" r:id="rId4"/>
    <sheet name="I2C Address Map" sheetId="3" state="visible" r:id="rId5"/>
    <sheet name="Pull-up Requirements" sheetId="4" state="visible" r:id="rId6"/>
    <sheet name="GPIO Allocation" sheetId="5" state="visible" r:id="rId7"/>
    <sheet name="Design Notes" sheetId="6" state="visible" r:id="rId8"/>
    <sheet name="Power Budget" sheetId="7" state="visible" r:id="rId9"/>
  </sheets>
  <definedNames>
    <definedName function="false" hidden="true" localSheetId="0" name="_xlnm._FilterDatabase" vbProcedure="false">'Pin Mapping'!$A$1:$I$38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<sst xmlns="http://schemas.openxmlformats.org/spreadsheetml/2006/main" count="800" uniqueCount="416">
  <si>
    <t xml:space="preserve">Component</t>
  </si>
  <si>
    <t xml:space="preserve">Component Pin</t>
  </si>
  <si>
    <t xml:space="preserve">CM5 GPIO</t>
  </si>
  <si>
    <t xml:space="preserve">CM5 Bus</t>
  </si>
  <si>
    <t xml:space="preserve">CM5 Conn Pin</t>
  </si>
  <si>
    <t xml:space="preserve">Alt Func</t>
  </si>
  <si>
    <t xml:space="preserve">I2C Addr</t>
  </si>
  <si>
    <t xml:space="preserve">Direction</t>
  </si>
  <si>
    <t xml:space="preserve">Notes</t>
  </si>
  <si>
    <t xml:space="preserve">BQ25895 (Charger)</t>
  </si>
  <si>
    <t xml:space="preserve">BQ_SCL</t>
  </si>
  <si>
    <t xml:space="preserve">GPIO3</t>
  </si>
  <si>
    <t xml:space="preserve">I2C1</t>
  </si>
  <si>
    <t xml:space="preserve">91</t>
  </si>
  <si>
    <t xml:space="preserve">F4: I2C1_SCL</t>
  </si>
  <si>
    <t xml:space="preserve">0x6A</t>
  </si>
  <si>
    <t xml:space="preserve">Bidir</t>
  </si>
  <si>
    <t xml:space="preserve">Shared I2C1 w/ MAX17048; 1.8kΩ pull-ups on GPIO2/3</t>
  </si>
  <si>
    <t xml:space="preserve">BQ_SDA</t>
  </si>
  <si>
    <t xml:space="preserve">GPIO2</t>
  </si>
  <si>
    <t xml:space="preserve">89</t>
  </si>
  <si>
    <t xml:space="preserve">F4: I2C1_SDA</t>
  </si>
  <si>
    <t xml:space="preserve">BQ_CE</t>
  </si>
  <si>
    <t xml:space="preserve">GPIO17</t>
  </si>
  <si>
    <t xml:space="preserve">GPIO</t>
  </si>
  <si>
    <t xml:space="preserve">163</t>
  </si>
  <si>
    <t xml:space="preserve">GPIO out</t>
  </si>
  <si>
    <t xml:space="preserve">Output</t>
  </si>
  <si>
    <t xml:space="preserve">Chip enable (active high)</t>
  </si>
  <si>
    <t xml:space="preserve">BQ_INT</t>
  </si>
  <si>
    <t xml:space="preserve">GPIO27</t>
  </si>
  <si>
    <t xml:space="preserve">183</t>
  </si>
  <si>
    <t xml:space="preserve">GPIO in</t>
  </si>
  <si>
    <t xml:space="preserve">Input</t>
  </si>
  <si>
    <t xml:space="preserve">Open-drain IRQ, add ext 10kΩ pull-up</t>
  </si>
  <si>
    <t xml:space="preserve">MAX17048 (Fuel Gauge)</t>
  </si>
  <si>
    <t xml:space="preserve">FG_SCL</t>
  </si>
  <si>
    <t xml:space="preserve">0x36</t>
  </si>
  <si>
    <t xml:space="preserve">Shared I2C1 w/ BQ25895</t>
  </si>
  <si>
    <t xml:space="preserve">FG_SDA</t>
  </si>
  <si>
    <t xml:space="preserve">FG_INT</t>
  </si>
  <si>
    <t xml:space="preserve">GPIO22</t>
  </si>
  <si>
    <t xml:space="preserve">173</t>
  </si>
  <si>
    <t xml:space="preserve">Alert output, open-drain, add 10kΩ pull-up</t>
  </si>
  <si>
    <t xml:space="preserve">LIS2MDL (Magnetometer)</t>
  </si>
  <si>
    <t xml:space="preserve">LIS2MDL_SCL</t>
  </si>
  <si>
    <t xml:space="preserve">GPIO5</t>
  </si>
  <si>
    <t xml:space="preserve">I2C2</t>
  </si>
  <si>
    <t xml:space="preserve">135</t>
  </si>
  <si>
    <t xml:space="preserve">F4: I2C2_SCL</t>
  </si>
  <si>
    <t xml:space="preserve">0x1E</t>
  </si>
  <si>
    <t xml:space="preserve">Add 4.7kΩ pull-ups to 3.3V on GPIO4/5</t>
  </si>
  <si>
    <t xml:space="preserve">LIS2MDL_SDA</t>
  </si>
  <si>
    <t xml:space="preserve">GPIO4</t>
  </si>
  <si>
    <t xml:space="preserve">133</t>
  </si>
  <si>
    <t xml:space="preserve">F4: I2C2_SDA</t>
  </si>
  <si>
    <t xml:space="preserve">LIS2MDL_INT</t>
  </si>
  <si>
    <t xml:space="preserve">GPIO24</t>
  </si>
  <si>
    <t xml:space="preserve">177</t>
  </si>
  <si>
    <t xml:space="preserve">Data-ready / threshold interrupt (push-pull)</t>
  </si>
  <si>
    <t xml:space="preserve">BMP390 (Pressure)</t>
  </si>
  <si>
    <t xml:space="preserve">BMP390_SCL</t>
  </si>
  <si>
    <t xml:space="preserve">0x77</t>
  </si>
  <si>
    <t xml:space="preserve">SDO→VDD=0x77, SDO→GND=0x76</t>
  </si>
  <si>
    <t xml:space="preserve">BMP390_SDA</t>
  </si>
  <si>
    <t xml:space="preserve">BMP390_INT</t>
  </si>
  <si>
    <t xml:space="preserve">GPIO25</t>
  </si>
  <si>
    <t xml:space="preserve">179</t>
  </si>
  <si>
    <t xml:space="preserve">Data-ready interrupt (push-pull)</t>
  </si>
  <si>
    <t xml:space="preserve">SHT40 (Temp/Humidity)</t>
  </si>
  <si>
    <t xml:space="preserve">SHT40_SCL</t>
  </si>
  <si>
    <t xml:space="preserve">0x44</t>
  </si>
  <si>
    <t xml:space="preserve">No address conflict on I2C2 bus</t>
  </si>
  <si>
    <t xml:space="preserve">SHT40_SDA</t>
  </si>
  <si>
    <t xml:space="preserve">BMI270 (IMU, SPI)</t>
  </si>
  <si>
    <t xml:space="preserve">BMI270_CS</t>
  </si>
  <si>
    <t xml:space="preserve">GPIO8</t>
  </si>
  <si>
    <t xml:space="preserve">SPI0</t>
  </si>
  <si>
    <t xml:space="preserve">141</t>
  </si>
  <si>
    <t xml:space="preserve">F1: SPI0_CSn[0]</t>
  </si>
  <si>
    <t xml:space="preserve">—</t>
  </si>
  <si>
    <t xml:space="preserve">SPI mode 0, max 10MHz</t>
  </si>
  <si>
    <t xml:space="preserve">BMI270_SDI (MOSI)</t>
  </si>
  <si>
    <t xml:space="preserve">GPIO10</t>
  </si>
  <si>
    <t xml:space="preserve">145</t>
  </si>
  <si>
    <t xml:space="preserve">F1: SPI0_SIO[0]</t>
  </si>
  <si>
    <t xml:space="preserve">BMI270_SDO (MISO)</t>
  </si>
  <si>
    <t xml:space="preserve">GPIO9</t>
  </si>
  <si>
    <t xml:space="preserve">143</t>
  </si>
  <si>
    <t xml:space="preserve">F1: SPI0_SIO[1]</t>
  </si>
  <si>
    <t xml:space="preserve">BMI270_SCK (SCLK)</t>
  </si>
  <si>
    <t xml:space="preserve">GPIO11</t>
  </si>
  <si>
    <t xml:space="preserve">147</t>
  </si>
  <si>
    <t xml:space="preserve">F1: SPI0_SCLK</t>
  </si>
  <si>
    <t xml:space="preserve">BMI270_INT1</t>
  </si>
  <si>
    <t xml:space="preserve">GPIO23</t>
  </si>
  <si>
    <t xml:space="preserve">175</t>
  </si>
  <si>
    <t xml:space="preserve">Interrupt 1 (data-ready), push-pull</t>
  </si>
  <si>
    <t xml:space="preserve">BMI270_INT2</t>
  </si>
  <si>
    <t xml:space="preserve">GPIO26</t>
  </si>
  <si>
    <t xml:space="preserve">181</t>
  </si>
  <si>
    <t xml:space="preserve">Interrupt 2 (any-motion/step), push-pull</t>
  </si>
  <si>
    <t xml:space="preserve">Teseo-LIV4F (GNSS)</t>
  </si>
  <si>
    <t xml:space="preserve">GNSS_TX</t>
  </si>
  <si>
    <t xml:space="preserve">GPIO15</t>
  </si>
  <si>
    <t xml:space="preserve">UART0</t>
  </si>
  <si>
    <t xml:space="preserve">155</t>
  </si>
  <si>
    <t xml:space="preserve">F5: UART0_RX</t>
  </si>
  <si>
    <t xml:space="preserve">GNSS TX → CM5 RX (crossover); default 9600 baud</t>
  </si>
  <si>
    <t xml:space="preserve">GNSS_RX</t>
  </si>
  <si>
    <t xml:space="preserve">GPIO14</t>
  </si>
  <si>
    <t xml:space="preserve">153</t>
  </si>
  <si>
    <t xml:space="preserve">F5: UART0_TX</t>
  </si>
  <si>
    <t xml:space="preserve">GNSS RX ← CM5 TX (crossover)</t>
  </si>
  <si>
    <t xml:space="preserve">GNSS_RSTn</t>
  </si>
  <si>
    <t xml:space="preserve">GPIO16</t>
  </si>
  <si>
    <t xml:space="preserve">161</t>
  </si>
  <si>
    <t xml:space="preserve">Active-low reset; no ext pull-up/down per ST</t>
  </si>
  <si>
    <t xml:space="preserve">GNSS_WAKEUP</t>
  </si>
  <si>
    <t xml:space="preserve">GPIO20</t>
  </si>
  <si>
    <t xml:space="preserve">169</t>
  </si>
  <si>
    <t xml:space="preserve">EXTINT pin — wakeup from low-power</t>
  </si>
  <si>
    <t xml:space="preserve">GNSS_PSU_EN</t>
  </si>
  <si>
    <t xml:space="preserve">GPIO21</t>
  </si>
  <si>
    <t xml:space="preserve">171</t>
  </si>
  <si>
    <t xml:space="preserve">VCC enable via MOSFET/regulator</t>
  </si>
  <si>
    <t xml:space="preserve">GNSS_Vbatt</t>
  </si>
  <si>
    <t xml:space="preserve">Power</t>
  </si>
  <si>
    <t xml:space="preserve">Connect to backup battery/supercap for RTC</t>
  </si>
  <si>
    <t xml:space="preserve">GNSS_SCL</t>
  </si>
  <si>
    <t xml:space="preserve">GPIO7</t>
  </si>
  <si>
    <t xml:space="preserve">I2C3</t>
  </si>
  <si>
    <t xml:space="preserve">139</t>
  </si>
  <si>
    <t xml:space="preserve">F4: I2C3_SCL</t>
  </si>
  <si>
    <t xml:space="preserve">Config</t>
  </si>
  <si>
    <t xml:space="preserve">Optional I2C; LIV4F has int 4.7kΩ pull-ups</t>
  </si>
  <si>
    <t xml:space="preserve">GNSS_SDA</t>
  </si>
  <si>
    <t xml:space="preserve">GPIO6</t>
  </si>
  <si>
    <t xml:space="preserve">137</t>
  </si>
  <si>
    <t xml:space="preserve">F4: I2C3_SDA</t>
  </si>
  <si>
    <t xml:space="preserve">No ext pull-ups needed (internal)</t>
  </si>
  <si>
    <t xml:space="preserve">TPS61022 (Boost Conv.)</t>
  </si>
  <si>
    <t xml:space="preserve">EN</t>
  </si>
  <si>
    <t xml:space="preserve">Tied to VIN (always on); BQ25895 BATFET controls power</t>
  </si>
  <si>
    <t xml:space="preserve">MODE</t>
  </si>
  <si>
    <t xml:space="preserve">Tied to GND (PFM mode for battery efficiency)</t>
  </si>
  <si>
    <t xml:space="preserve">DRV5032FA (Wheel Speed)</t>
  </si>
  <si>
    <t xml:space="preserve">OUT</t>
  </si>
  <si>
    <t xml:space="preserve">GPIO1</t>
  </si>
  <si>
    <t xml:space="preserve">Open-drain; 10kΩ pull-up to 3.3V; 100nF bypass on VCC</t>
  </si>
  <si>
    <t xml:space="preserve">Rotary Encoder</t>
  </si>
  <si>
    <t xml:space="preserve">ENC_A</t>
  </si>
  <si>
    <t xml:space="preserve">GPIO12</t>
  </si>
  <si>
    <t xml:space="preserve">10kΩ pull-up to 3.3V; 100nF debounce cap</t>
  </si>
  <si>
    <t xml:space="preserve">ENC_B</t>
  </si>
  <si>
    <t xml:space="preserve">GPIO13</t>
  </si>
  <si>
    <t xml:space="preserve">ENC_SW</t>
  </si>
  <si>
    <t xml:space="preserve">GPIO18</t>
  </si>
  <si>
    <t xml:space="preserve">Buttons</t>
  </si>
  <si>
    <t xml:space="preserve">BTN1</t>
  </si>
  <si>
    <t xml:space="preserve">GPIO19</t>
  </si>
  <si>
    <t xml:space="preserve">BTN2</t>
  </si>
  <si>
    <t xml:space="preserve">GPIO0</t>
  </si>
  <si>
    <t xml:space="preserve">10kΩ pull-up to 3.3V; 100nF debounce cap; add force_eeprom_read=0</t>
  </si>
  <si>
    <t xml:space="preserve">Bus</t>
  </si>
  <si>
    <t xml:space="preserve">Type</t>
  </si>
  <si>
    <t xml:space="preserve">GPIO Pins</t>
  </si>
  <si>
    <t xml:space="preserve">CM5 Conn Pins</t>
  </si>
  <si>
    <t xml:space="preserve">Devices</t>
  </si>
  <si>
    <t xml:space="preserve">Pull-ups</t>
  </si>
  <si>
    <t xml:space="preserve">Config.txt Overlay</t>
  </si>
  <si>
    <t xml:space="preserve">I2C</t>
  </si>
  <si>
    <t xml:space="preserve">GPIO2 (SDA), GPIO3 (SCL)</t>
  </si>
  <si>
    <t xml:space="preserve">89, 91</t>
  </si>
  <si>
    <t xml:space="preserve">BQ25895, MAX17048</t>
  </si>
  <si>
    <t xml:space="preserve">1.8kΩ built-in (CM5)</t>
  </si>
  <si>
    <t xml:space="preserve">dtparam=i2c_arm=on</t>
  </si>
  <si>
    <t xml:space="preserve">DO NOT add external pull-ups</t>
  </si>
  <si>
    <t xml:space="preserve">GPIO4 (SDA), GPIO5 (SCL)</t>
  </si>
  <si>
    <t xml:space="preserve">133, 135</t>
  </si>
  <si>
    <t xml:space="preserve">LIS2MDL, BMP390, SHT40</t>
  </si>
  <si>
    <t xml:space="preserve">4.7kΩ external to 3.3V</t>
  </si>
  <si>
    <t xml:space="preserve">dtoverlay=i2c2-pi5,pins_4_5</t>
  </si>
  <si>
    <t xml:space="preserve">Must add external pull-ups on carrier board</t>
  </si>
  <si>
    <t xml:space="preserve">GPIO6 (SDA), GPIO7 (SCL)</t>
  </si>
  <si>
    <t xml:space="preserve">137, 139</t>
  </si>
  <si>
    <t xml:space="preserve">Teseo-LIV4F (optional)</t>
  </si>
  <si>
    <t xml:space="preserve">4.7kΩ internal (Teseo)</t>
  </si>
  <si>
    <t xml:space="preserve">dtoverlay=i2c3-pi5,pins_6_7</t>
  </si>
  <si>
    <t xml:space="preserve">DO NOT add external pull-ups; UART is primary</t>
  </si>
  <si>
    <t xml:space="preserve">SPI</t>
  </si>
  <si>
    <t xml:space="preserve">GPIO8-11</t>
  </si>
  <si>
    <t xml:space="preserve">141-147</t>
  </si>
  <si>
    <t xml:space="preserve">BMI270</t>
  </si>
  <si>
    <t xml:space="preserve">N/A</t>
  </si>
  <si>
    <t xml:space="preserve">dtparam=spi=on</t>
  </si>
  <si>
    <t xml:space="preserve">SPI mode 0, max 10MHz; requires 8KB config upload</t>
  </si>
  <si>
    <t xml:space="preserve">UART</t>
  </si>
  <si>
    <t xml:space="preserve">GPIO14 (TX), GPIO15 (RX)</t>
  </si>
  <si>
    <t xml:space="preserve">153, 155</t>
  </si>
  <si>
    <t xml:space="preserve">Teseo-LIV4F</t>
  </si>
  <si>
    <t xml:space="preserve">enable_uart=1</t>
  </si>
  <si>
    <t xml:space="preserve">Default 9600 baud, 8N1; TX/RX crossover</t>
  </si>
  <si>
    <t xml:space="preserve">DSI0</t>
  </si>
  <si>
    <t xml:space="preserve">MIPI DSI</t>
  </si>
  <si>
    <t xml:space="preserve">DISP0 connector</t>
  </si>
  <si>
    <t xml:space="preserve">Waveshare 3.5" display</t>
  </si>
  <si>
    <t xml:space="preserve">Directly copied from CM5 IO board</t>
  </si>
  <si>
    <t xml:space="preserve">PCIe</t>
  </si>
  <si>
    <t xml:space="preserve">NVMe</t>
  </si>
  <si>
    <t xml:space="preserve">PCIe connector</t>
  </si>
  <si>
    <t xml:space="preserve">NVMe SSD</t>
  </si>
  <si>
    <t xml:space="preserve">Copied from CM5 IO board; ~2-3W active power</t>
  </si>
  <si>
    <t xml:space="preserve">Device</t>
  </si>
  <si>
    <t xml:space="preserve">7-bit Address</t>
  </si>
  <si>
    <t xml:space="preserve">Hex</t>
  </si>
  <si>
    <t xml:space="preserve">Address Pins</t>
  </si>
  <si>
    <t xml:space="preserve">Conflict Check</t>
  </si>
  <si>
    <t xml:space="preserve">BQ25895</t>
  </si>
  <si>
    <t xml:space="preserve">1101010</t>
  </si>
  <si>
    <t xml:space="preserve">Fixed</t>
  </si>
  <si>
    <t xml:space="preserve">✓ No conflict</t>
  </si>
  <si>
    <t xml:space="preserve">MAX17048</t>
  </si>
  <si>
    <t xml:space="preserve">0110110</t>
  </si>
  <si>
    <t xml:space="preserve">LIS2MDL</t>
  </si>
  <si>
    <t xml:space="preserve">0011110</t>
  </si>
  <si>
    <t xml:space="preserve">BMP390</t>
  </si>
  <si>
    <t xml:space="preserve">1110111</t>
  </si>
  <si>
    <t xml:space="preserve">SDO pin (VDD=0x77, GND=0x76)</t>
  </si>
  <si>
    <t xml:space="preserve">SHT40</t>
  </si>
  <si>
    <t xml:space="preserve">1000100</t>
  </si>
  <si>
    <t xml:space="preserve">Configurable</t>
  </si>
  <si>
    <t xml:space="preserve">Configurable via firmware</t>
  </si>
  <si>
    <t xml:space="preserve">✓ Solo on bus</t>
  </si>
  <si>
    <t xml:space="preserve">Signal</t>
  </si>
  <si>
    <t xml:space="preserve">Pull-up Value</t>
  </si>
  <si>
    <t xml:space="preserve">Pull to</t>
  </si>
  <si>
    <t xml:space="preserve">Reason</t>
  </si>
  <si>
    <t xml:space="preserve">Critical Warning</t>
  </si>
  <si>
    <t xml:space="preserve">I2C1 SDA/SCL</t>
  </si>
  <si>
    <t xml:space="preserve">GPIO2/3</t>
  </si>
  <si>
    <t xml:space="preserve">I2C bus</t>
  </si>
  <si>
    <t xml:space="preserve">1.8kΩ (built-in)</t>
  </si>
  <si>
    <t xml:space="preserve">3.3V (GPIO_VREF)</t>
  </si>
  <si>
    <t xml:space="preserve">CM5 internal; handles BQ25895 + MAX17048</t>
  </si>
  <si>
    <t xml:space="preserve">DO NOT add external — would parallel to ~1.3kΩ</t>
  </si>
  <si>
    <t xml:space="preserve">I2C2 SDA/SCL</t>
  </si>
  <si>
    <t xml:space="preserve">GPIO4/5</t>
  </si>
  <si>
    <t xml:space="preserve">4.7kΩ (external)</t>
  </si>
  <si>
    <t xml:space="preserve">3.3V</t>
  </si>
  <si>
    <t xml:space="preserve">No built-in pull-ups on GPIO4/5</t>
  </si>
  <si>
    <t xml:space="preserve">MUST add on carrier board</t>
  </si>
  <si>
    <t xml:space="preserve">I2C3 SDA/SCL</t>
  </si>
  <si>
    <t xml:space="preserve">GPIO6/7</t>
  </si>
  <si>
    <t xml:space="preserve">4.7kΩ (internal Teseo)</t>
  </si>
  <si>
    <t xml:space="preserve">Teseo VCC</t>
  </si>
  <si>
    <t xml:space="preserve">Teseo-LIV4F internal pull-ups</t>
  </si>
  <si>
    <t xml:space="preserve">DO NOT add external — current leakage in low-power</t>
  </si>
  <si>
    <t xml:space="preserve">Interrupt (OD)</t>
  </si>
  <si>
    <t xml:space="preserve">10kΩ (external)</t>
  </si>
  <si>
    <t xml:space="preserve">Open-drain IRQ; low power</t>
  </si>
  <si>
    <t xml:space="preserve">Open-drain alert; low power</t>
  </si>
  <si>
    <t xml:space="preserve">Interrupt (PP)</t>
  </si>
  <si>
    <t xml:space="preserve">None needed</t>
  </si>
  <si>
    <t xml:space="preserve">Push-pull output</t>
  </si>
  <si>
    <t xml:space="preserve">DRV5032FA_OUT</t>
  </si>
  <si>
    <t xml:space="preserve">Hall sensor (OD)</t>
  </si>
  <si>
    <t xml:space="preserve">Open-drain output</t>
  </si>
  <si>
    <t xml:space="preserve">Add 100nF bypass cap on sensor VCC</t>
  </si>
  <si>
    <t xml:space="preserve">Encoder</t>
  </si>
  <si>
    <t xml:space="preserve">Switch to GND</t>
  </si>
  <si>
    <t xml:space="preserve">Add 100nF debounce cap</t>
  </si>
  <si>
    <t xml:space="preserve">Button</t>
  </si>
  <si>
    <t xml:space="preserve">Add 100nF debounce cap; force_eeprom_read=0</t>
  </si>
  <si>
    <t xml:space="preserve">Assignment</t>
  </si>
  <si>
    <t xml:space="preserve">Bus/Function</t>
  </si>
  <si>
    <t xml:space="preserve">Pull-up/down</t>
  </si>
  <si>
    <t xml:space="preserve">10kΩ to 3.3V</t>
  </si>
  <si>
    <t xml:space="preserve">Requires force_eeprom_read=0 in config.txt</t>
  </si>
  <si>
    <t xml:space="preserve">Hall effect sensor; remote mount on fork</t>
  </si>
  <si>
    <t xml:space="preserve">I2C1 SDA</t>
  </si>
  <si>
    <t xml:space="preserve">1.8kΩ built-in</t>
  </si>
  <si>
    <t xml:space="preserve">BQ25895 + MAX17048</t>
  </si>
  <si>
    <t xml:space="preserve">I2C1 SCL</t>
  </si>
  <si>
    <t xml:space="preserve">I2C2 SDA</t>
  </si>
  <si>
    <t xml:space="preserve">4.7kΩ external</t>
  </si>
  <si>
    <t xml:space="preserve">LIS2MDL + BMP390 + SHT40</t>
  </si>
  <si>
    <t xml:space="preserve">I2C2 SCL</t>
  </si>
  <si>
    <t xml:space="preserve">I2C3 SDA</t>
  </si>
  <si>
    <t xml:space="preserve">4.7kΩ internal</t>
  </si>
  <si>
    <t xml:space="preserve">Teseo-LIV4F optional I2C</t>
  </si>
  <si>
    <t xml:space="preserve">I2C3 SCL</t>
  </si>
  <si>
    <t xml:space="preserve">BMI270 CS</t>
  </si>
  <si>
    <t xml:space="preserve">None</t>
  </si>
  <si>
    <t xml:space="preserve">SPI chip select</t>
  </si>
  <si>
    <t xml:space="preserve">BMI270 MISO</t>
  </si>
  <si>
    <t xml:space="preserve">SPI data in</t>
  </si>
  <si>
    <t xml:space="preserve">BMI270 MOSI</t>
  </si>
  <si>
    <t xml:space="preserve">SPI data out</t>
  </si>
  <si>
    <t xml:space="preserve">BMI270 SCLK</t>
  </si>
  <si>
    <t xml:space="preserve">SPI clock</t>
  </si>
  <si>
    <t xml:space="preserve">Encoder A</t>
  </si>
  <si>
    <t xml:space="preserve">Rotary encoder channel A</t>
  </si>
  <si>
    <t xml:space="preserve">Encoder B</t>
  </si>
  <si>
    <t xml:space="preserve">Rotary encoder channel B</t>
  </si>
  <si>
    <t xml:space="preserve">UART0 TX</t>
  </si>
  <si>
    <t xml:space="preserve">CM5 TX → GNSS RX</t>
  </si>
  <si>
    <t xml:space="preserve">UART0 RX</t>
  </si>
  <si>
    <t xml:space="preserve">CM5 RX ← GNSS TX</t>
  </si>
  <si>
    <t xml:space="preserve">Active-low reset</t>
  </si>
  <si>
    <t xml:space="preserve">Charge enable (active high)</t>
  </si>
  <si>
    <t xml:space="preserve">Encoder Push</t>
  </si>
  <si>
    <t xml:space="preserve">Encoder momentary switch</t>
  </si>
  <si>
    <t xml:space="preserve">Standalone push button</t>
  </si>
  <si>
    <t xml:space="preserve">EXTINT wakeup from low-power</t>
  </si>
  <si>
    <t xml:space="preserve">VCC enable via MOSFET</t>
  </si>
  <si>
    <t xml:space="preserve">MAX17048 alert (open-drain)</t>
  </si>
  <si>
    <t xml:space="preserve">Data-ready (push-pull)</t>
  </si>
  <si>
    <t xml:space="preserve">Any-motion/step (push-pull)</t>
  </si>
  <si>
    <t xml:space="preserve">Charger IRQ (open-drain)</t>
  </si>
  <si>
    <t xml:space="preserve">Category</t>
  </si>
  <si>
    <t xml:space="preserve">Item</t>
  </si>
  <si>
    <t xml:space="preserve">Details</t>
  </si>
  <si>
    <t xml:space="preserve">Power Path</t>
  </si>
  <si>
    <t xml:space="preserve">Main power flow</t>
  </si>
  <si>
    <t xml:space="preserve">USB-C → BQ25895 (VBUS) → SYS → TPS61022 (VIN) → 5V VOUT → CM5</t>
  </si>
  <si>
    <t xml:space="preserve">Battery</t>
  </si>
  <si>
    <t xml:space="preserve">10,000mAh 1160100 3.7V Li-Ion (37Wh)</t>
  </si>
  <si>
    <t xml:space="preserve">Estimated runtime</t>
  </si>
  <si>
    <t xml:space="preserve">~4.5-7 hours depending on load (CM5 + NVMe + display + sensors)</t>
  </si>
  <si>
    <t xml:space="preserve">Shutdown</t>
  </si>
  <si>
    <t xml:space="preserve">CM5 sends ship mode cmd to BQ25895 via I2C → BATFET opens → TPS61022 loses VIN → system off</t>
  </si>
  <si>
    <t xml:space="preserve">Wake-up</t>
  </si>
  <si>
    <t xml:space="preserve">QON button press → BATFET enables → SYS live → TPS61022 starts → CM5 boots</t>
  </si>
  <si>
    <t xml:space="preserve">USB-C Charging</t>
  </si>
  <si>
    <t xml:space="preserve">CC1/CC2</t>
  </si>
  <si>
    <t xml:space="preserve">5.1kΩ pull-down resistors to GND on carrier board (sink device)</t>
  </si>
  <si>
    <t xml:space="preserve">D+/D-</t>
  </si>
  <si>
    <t xml:space="preserve">Route to BQ25895 D+/D- pins for BC1.2 source detection</t>
  </si>
  <si>
    <t xml:space="preserve">Current negotiation</t>
  </si>
  <si>
    <t xml:space="preserve">BQ25895 detects source type via D+/D- (SDP/CDP/DCP); ICO for max power</t>
  </si>
  <si>
    <t xml:space="preserve">USB-PD</t>
  </si>
  <si>
    <t xml:space="preserve">Not supported with passive CC resistors; 5V input only</t>
  </si>
  <si>
    <t xml:space="preserve">TPS61022</t>
  </si>
  <si>
    <t xml:space="preserve">EN pin</t>
  </si>
  <si>
    <t xml:space="preserve">Tied directly to VIN — boost converter always on when SYS is live</t>
  </si>
  <si>
    <t xml:space="preserve">MODE pin</t>
  </si>
  <si>
    <t xml:space="preserve">Tied to GND — PFM mode for battery efficiency at light loads</t>
  </si>
  <si>
    <t xml:space="preserve">5V, 8A valley current limit; feeds CM5 5V input</t>
  </si>
  <si>
    <t xml:space="preserve">Feedback</t>
  </si>
  <si>
    <t xml:space="preserve">R1=732kΩ, R2=100kΩ for 5V output (per TI reference design)</t>
  </si>
  <si>
    <t xml:space="preserve">Display</t>
  </si>
  <si>
    <t xml:space="preserve">Waveshare 3.5" — DSI interface via DISP0 connector (copied from CM5 IO)</t>
  </si>
  <si>
    <t xml:space="preserve">Storage</t>
  </si>
  <si>
    <t xml:space="preserve">PCIe interface — connector copied from CM5 IO board; consider power budget (~2-3W)</t>
  </si>
  <si>
    <t xml:space="preserve">User Input</t>
  </si>
  <si>
    <t xml:space="preserve">Rotary encoder</t>
  </si>
  <si>
    <t xml:space="preserve">A/B channels + momentary push on GPIO12/13/18; all with 10kΩ pull-ups + 100nF debounce</t>
  </si>
  <si>
    <t xml:space="preserve">2x push buttons on GPIO19/0; 10kΩ pull-ups + 100nF debounce</t>
  </si>
  <si>
    <t xml:space="preserve">Vibration note</t>
  </si>
  <si>
    <t xml:space="preserve">Bike vibration requires robust debouncing — hardware (RC) + software recommended</t>
  </si>
  <si>
    <t xml:space="preserve">Wheel Speed</t>
  </si>
  <si>
    <t xml:space="preserve">Sensor</t>
  </si>
  <si>
    <t xml:space="preserve">DRV5032FA (TI) — omnipolar Hall effect switch, 0.54µA quiescent</t>
  </si>
  <si>
    <t xml:space="preserve">Mounting</t>
  </si>
  <si>
    <t xml:space="preserve">Remote mount on fork; cable to carrier board; add 1kΩ + 100nF RC filter at GPIO1 input</t>
  </si>
  <si>
    <t xml:space="preserve">Open-drain to GPIO1; 10kΩ pull-up to 3.3V</t>
  </si>
  <si>
    <t xml:space="preserve">ML / Sensor Fusion</t>
  </si>
  <si>
    <t xml:space="preserve">Goal</t>
  </si>
  <si>
    <t xml:space="preserve">Predict location using sensor data when GNSS is unavailable (tunnels, tree cover, urban canyons)</t>
  </si>
  <si>
    <t xml:space="preserve">Inputs</t>
  </si>
  <si>
    <t xml:space="preserve">BMI270 (accel/gyro), LIS2MDL (heading), BMP390 (altitude), DRV5032FA (wheel speed)</t>
  </si>
  <si>
    <t xml:space="preserve">Ground truth</t>
  </si>
  <si>
    <t xml:space="preserve">Teseo-LIV4F GNSS position during training</t>
  </si>
  <si>
    <t xml:space="preserve">Approach</t>
  </si>
  <si>
    <t xml:space="preserve">Extended Kalman filter or RNN; wheel speed removes velocity drift ambiguity</t>
  </si>
  <si>
    <t xml:space="preserve">Config.txt</t>
  </si>
  <si>
    <t xml:space="preserve">Required entries</t>
  </si>
  <si>
    <t xml:space="preserve">dtparam=i2c_arm=on
dtoverlay=i2c2-pi5,pins_4_5
dtoverlay=i2c3-pi5,pins_6_7
dtparam=spi=on
enable_uart=1
force_eeprom_read=0</t>
  </si>
  <si>
    <t xml:space="preserve">Application</t>
  </si>
  <si>
    <t xml:space="preserve">Bike computer — battery-powered, outdoor use, vibration environment</t>
  </si>
  <si>
    <t xml:space="preserve">Voltage (V)</t>
  </si>
  <si>
    <t xml:space="preserve">Typ Current (mA)</t>
  </si>
  <si>
    <t xml:space="preserve">Max Current (mA)</t>
  </si>
  <si>
    <t xml:space="preserve">Typ Power (W)</t>
  </si>
  <si>
    <t xml:space="preserve">Max Power (W)</t>
  </si>
  <si>
    <t xml:space="preserve">CM5 (idle)</t>
  </si>
  <si>
    <t xml:space="preserve">Varies with CPU/GPU load</t>
  </si>
  <si>
    <t xml:space="preserve">CM5 (active)</t>
  </si>
  <si>
    <t xml:space="preserve">Map rendering, ML inference</t>
  </si>
  <si>
    <t xml:space="preserve">NVMe SSD (active)</t>
  </si>
  <si>
    <t xml:space="preserve">Varies by drive model</t>
  </si>
  <si>
    <t xml:space="preserve">NVMe SSD (idle)</t>
  </si>
  <si>
    <t xml:space="preserve">Low power idle state</t>
  </si>
  <si>
    <t xml:space="preserve">With backlight</t>
  </si>
  <si>
    <t xml:space="preserve">Teseo-LIV4F (tracking)</t>
  </si>
  <si>
    <t xml:space="preserve">Continuous tracking mode</t>
  </si>
  <si>
    <t xml:space="preserve">Continuous mode</t>
  </si>
  <si>
    <t xml:space="preserve">Normal mode</t>
  </si>
  <si>
    <t xml:space="preserve">High precision mode</t>
  </si>
  <si>
    <t xml:space="preserve">Normal mode, accel+gyro</t>
  </si>
  <si>
    <t xml:space="preserve">BQ25895 (quiescent)</t>
  </si>
  <si>
    <t xml:space="preserve">Not switching, monitoring</t>
  </si>
  <si>
    <t xml:space="preserve">Always-on fuel gauge</t>
  </si>
  <si>
    <t xml:space="preserve">DRV5032FA</t>
  </si>
  <si>
    <t xml:space="preserve">Ultra-low power Hall sensor</t>
  </si>
  <si>
    <t xml:space="preserve">Pull-up resistors (I2C, INT)</t>
  </si>
  <si>
    <t xml:space="preserve">Aggregate; mostly idle</t>
  </si>
  <si>
    <t xml:space="preserve">TPS61022 losses (~10%)</t>
  </si>
  <si>
    <t xml:space="preserve">Boost converter inefficiency</t>
  </si>
  <si>
    <t xml:space="preserve">TOTAL (excl. boost loss)</t>
  </si>
  <si>
    <t xml:space="preserve">TOTAL (with ~10% boost loss)</t>
  </si>
  <si>
    <t xml:space="preserve">Battery: 10,000mAh @ 3.7V = 37Wh</t>
  </si>
  <si>
    <t xml:space="preserve">Est. runtime (typical)</t>
  </si>
  <si>
    <t xml:space="preserve">hours</t>
  </si>
  <si>
    <t xml:space="preserve">Est. runtime (max load)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</si>
</sst>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.000"/>
    <numFmt numFmtId="166" formatCode="0.0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Arial"/>
      <family val="0"/>
      <charset val="1"/>
    </font>
    <font>
      <b val="true"/>
      <sz val="9"/>
      <name val="Arial"/>
      <family val="0"/>
      <charset val="1"/>
    </font>
    <font>
      <sz val="9"/>
      <name val="Arial"/>
      <family val="0"/>
      <charset val="1"/>
    </font>
    <font>
      <b val="true"/>
      <sz val="9"/>
      <color rgb="FFCC0000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0"/>
      <color rgb="FFCC0000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2F5496"/>
        <bgColor rgb="FF666699"/>
      </patternFill>
    </fill>
    <fill>
      <patternFill patternType="solid">
        <fgColor rgb="FFD6E4F0"/>
        <bgColor rgb="FFE2EFDA"/>
      </patternFill>
    </fill>
    <fill>
      <patternFill patternType="solid">
        <fgColor rgb="FFE2EFDA"/>
        <bgColor rgb="FFD6E4F0"/>
      </patternFill>
    </fill>
    <fill>
      <patternFill patternType="solid">
        <fgColor rgb="FFFCE4EC"/>
        <bgColor rgb="FFE2EFDA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6" fillId="4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6" fillId="5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5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5" fontId="6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ill>
        <patternFill patternType="solid">
          <fgColor rgb="FF2F5496"/>
          <bgColor rgb="FF000000"/>
        </patternFill>
      </fill>
    </dxf>
    <dxf>
      <fill>
        <patternFill patternType="solid">
          <fgColor rgb="FFD6E4F0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CC0000"/>
      <rgbColor rgb="FF00FF00"/>
      <rgbColor rgb="FF0000FF"/>
      <rgbColor rgb="FFFFFF00"/>
      <rgbColor rgb="FFFF00FF"/>
      <rgbColor rgb="FF00FFFF"/>
      <rgbColor rgb="FFC00000"/>
      <rgbColor rgb="FF008000"/>
      <rgbColor rgb="FF000080"/>
      <rgbColor rgb="FF548235"/>
      <rgbColor rgb="FF800080"/>
      <rgbColor rgb="FF008080"/>
      <rgbColor rgb="FFC0C0C0"/>
      <rgbColor rgb="FF808080"/>
      <rgbColor rgb="FF9999FF"/>
      <rgbColor rgb="FF7030A0"/>
      <rgbColor rgb="FFFCE4EC"/>
      <rgbColor rgb="FFCCFFFF"/>
      <rgbColor rgb="FF660066"/>
      <rgbColor rgb="FFFF8080"/>
      <rgbColor rgb="FF0066CC"/>
      <rgbColor rgb="FFD6E4F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BF8F00"/>
      <rgbColor rgb="FFFF6600"/>
      <rgbColor rgb="FF666699"/>
      <rgbColor rgb="FF969696"/>
      <rgbColor rgb="FF003366"/>
      <rgbColor rgb="FF00B050"/>
      <rgbColor rgb="FF003300"/>
      <rgbColor rgb="FF333300"/>
      <rgbColor rgb="FF993300"/>
      <rgbColor rgb="FF993366"/>
      <rgbColor rgb="FF2F5496"/>
      <rgbColor rgb="FF40404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F5496"/>
    <pageSetUpPr fitToPage="false"/>
  </sheetPr>
  <dimension ref="A1:I3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22"/>
    <col collapsed="false" customWidth="true" hidden="false" outlineLevel="0" max="3" min="3" style="0" width="10"/>
    <col collapsed="false" customWidth="true" hidden="false" outlineLevel="0" max="4" min="4" style="0" width="8"/>
    <col collapsed="false" customWidth="true" hidden="false" outlineLevel="0" max="5" min="5" style="0" width="14"/>
    <col collapsed="false" customWidth="true" hidden="false" outlineLevel="0" max="6" min="6" style="0" width="18"/>
    <col collapsed="false" customWidth="true" hidden="false" outlineLevel="0" max="7" min="7" style="0" width="10"/>
    <col collapsed="false" customWidth="true" hidden="false" outlineLevel="0" max="8" min="8" style="0" width="8"/>
    <col collapsed="false" customWidth="true" hidden="false" outlineLevel="0" max="9" min="9" style="0" width="60"/>
  </cols>
  <sheetData>
    <row r="1" customFormat="false" ht="23.8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customFormat="false" ht="15" hidden="false" customHeight="false" outlineLevel="0" collapsed="false">
      <c r="A2" s="2" t="s">
        <v>9</v>
      </c>
      <c r="B2" s="2" t="s">
        <v>10</v>
      </c>
      <c r="C2" s="2" t="s">
        <v>11</v>
      </c>
      <c r="D2" s="2" t="s">
        <v>12</v>
      </c>
      <c r="E2" s="2" t="s">
        <v>13</v>
      </c>
      <c r="F2" s="2" t="s">
        <v>14</v>
      </c>
      <c r="G2" s="2" t="s">
        <v>15</v>
      </c>
      <c r="H2" s="2" t="s">
        <v>16</v>
      </c>
      <c r="I2" s="2" t="s">
        <v>17</v>
      </c>
    </row>
    <row r="3" customFormat="false" ht="15" hidden="false" customHeight="false" outlineLevel="0" collapsed="false">
      <c r="A3" s="3"/>
      <c r="B3" s="3" t="s">
        <v>18</v>
      </c>
      <c r="C3" s="3" t="s">
        <v>19</v>
      </c>
      <c r="D3" s="3" t="s">
        <v>12</v>
      </c>
      <c r="E3" s="3" t="s">
        <v>20</v>
      </c>
      <c r="F3" s="3" t="s">
        <v>21</v>
      </c>
      <c r="G3" s="3"/>
      <c r="H3" s="3" t="s">
        <v>16</v>
      </c>
      <c r="I3" s="3"/>
    </row>
    <row r="4" customFormat="false" ht="15" hidden="false" customHeight="false" outlineLevel="0" collapsed="false">
      <c r="A4" s="3"/>
      <c r="B4" s="3" t="s">
        <v>22</v>
      </c>
      <c r="C4" s="3" t="s">
        <v>23</v>
      </c>
      <c r="D4" s="3" t="s">
        <v>24</v>
      </c>
      <c r="E4" s="3" t="s">
        <v>25</v>
      </c>
      <c r="F4" s="3" t="s">
        <v>26</v>
      </c>
      <c r="G4" s="3"/>
      <c r="H4" s="3" t="s">
        <v>27</v>
      </c>
      <c r="I4" s="3" t="s">
        <v>28</v>
      </c>
    </row>
    <row r="5" customFormat="false" ht="15" hidden="false" customHeight="false" outlineLevel="0" collapsed="false">
      <c r="A5" s="3"/>
      <c r="B5" s="3" t="s">
        <v>29</v>
      </c>
      <c r="C5" s="3" t="s">
        <v>30</v>
      </c>
      <c r="D5" s="3" t="s">
        <v>24</v>
      </c>
      <c r="E5" s="3" t="s">
        <v>31</v>
      </c>
      <c r="F5" s="3" t="s">
        <v>32</v>
      </c>
      <c r="G5" s="3"/>
      <c r="H5" s="3" t="s">
        <v>33</v>
      </c>
      <c r="I5" s="3" t="s">
        <v>34</v>
      </c>
    </row>
    <row r="6" customFormat="false" ht="15" hidden="false" customHeight="false" outlineLevel="0" collapsed="false">
      <c r="A6" s="2" t="s">
        <v>35</v>
      </c>
      <c r="B6" s="2" t="s">
        <v>36</v>
      </c>
      <c r="C6" s="2" t="s">
        <v>11</v>
      </c>
      <c r="D6" s="2" t="s">
        <v>12</v>
      </c>
      <c r="E6" s="2" t="s">
        <v>13</v>
      </c>
      <c r="F6" s="2" t="s">
        <v>14</v>
      </c>
      <c r="G6" s="2" t="s">
        <v>37</v>
      </c>
      <c r="H6" s="2" t="s">
        <v>16</v>
      </c>
      <c r="I6" s="2" t="s">
        <v>38</v>
      </c>
    </row>
    <row r="7" customFormat="false" ht="15" hidden="false" customHeight="false" outlineLevel="0" collapsed="false">
      <c r="A7" s="3"/>
      <c r="B7" s="3" t="s">
        <v>39</v>
      </c>
      <c r="C7" s="3" t="s">
        <v>19</v>
      </c>
      <c r="D7" s="3" t="s">
        <v>12</v>
      </c>
      <c r="E7" s="3" t="s">
        <v>20</v>
      </c>
      <c r="F7" s="3" t="s">
        <v>21</v>
      </c>
      <c r="G7" s="3"/>
      <c r="H7" s="3" t="s">
        <v>16</v>
      </c>
      <c r="I7" s="3"/>
    </row>
    <row r="8" customFormat="false" ht="15" hidden="false" customHeight="false" outlineLevel="0" collapsed="false">
      <c r="A8" s="3"/>
      <c r="B8" s="3" t="s">
        <v>40</v>
      </c>
      <c r="C8" s="3" t="s">
        <v>41</v>
      </c>
      <c r="D8" s="3" t="s">
        <v>24</v>
      </c>
      <c r="E8" s="3" t="s">
        <v>42</v>
      </c>
      <c r="F8" s="3" t="s">
        <v>32</v>
      </c>
      <c r="G8" s="3"/>
      <c r="H8" s="3" t="s">
        <v>33</v>
      </c>
      <c r="I8" s="3" t="s">
        <v>43</v>
      </c>
    </row>
    <row r="9" customFormat="false" ht="15" hidden="false" customHeight="false" outlineLevel="0" collapsed="false">
      <c r="A9" s="2" t="s">
        <v>44</v>
      </c>
      <c r="B9" s="2" t="s">
        <v>45</v>
      </c>
      <c r="C9" s="2" t="s">
        <v>46</v>
      </c>
      <c r="D9" s="2" t="s">
        <v>47</v>
      </c>
      <c r="E9" s="2" t="s">
        <v>48</v>
      </c>
      <c r="F9" s="2" t="s">
        <v>49</v>
      </c>
      <c r="G9" s="2" t="s">
        <v>50</v>
      </c>
      <c r="H9" s="2" t="s">
        <v>16</v>
      </c>
      <c r="I9" s="2" t="s">
        <v>51</v>
      </c>
    </row>
    <row r="10" customFormat="false" ht="15" hidden="false" customHeight="false" outlineLevel="0" collapsed="false">
      <c r="A10" s="3"/>
      <c r="B10" s="3" t="s">
        <v>52</v>
      </c>
      <c r="C10" s="3" t="s">
        <v>53</v>
      </c>
      <c r="D10" s="3" t="s">
        <v>47</v>
      </c>
      <c r="E10" s="3" t="s">
        <v>54</v>
      </c>
      <c r="F10" s="3" t="s">
        <v>55</v>
      </c>
      <c r="G10" s="3"/>
      <c r="H10" s="3" t="s">
        <v>16</v>
      </c>
      <c r="I10" s="3"/>
    </row>
    <row r="11" customFormat="false" ht="15" hidden="false" customHeight="false" outlineLevel="0" collapsed="false">
      <c r="A11" s="3"/>
      <c r="B11" s="3" t="s">
        <v>56</v>
      </c>
      <c r="C11" s="3" t="s">
        <v>57</v>
      </c>
      <c r="D11" s="3" t="s">
        <v>24</v>
      </c>
      <c r="E11" s="3" t="s">
        <v>58</v>
      </c>
      <c r="F11" s="3" t="s">
        <v>32</v>
      </c>
      <c r="G11" s="3"/>
      <c r="H11" s="3" t="s">
        <v>33</v>
      </c>
      <c r="I11" s="3" t="s">
        <v>59</v>
      </c>
    </row>
    <row r="12" customFormat="false" ht="15" hidden="false" customHeight="false" outlineLevel="0" collapsed="false">
      <c r="A12" s="2" t="s">
        <v>60</v>
      </c>
      <c r="B12" s="2" t="s">
        <v>61</v>
      </c>
      <c r="C12" s="2" t="s">
        <v>46</v>
      </c>
      <c r="D12" s="2" t="s">
        <v>47</v>
      </c>
      <c r="E12" s="2" t="s">
        <v>48</v>
      </c>
      <c r="F12" s="2" t="s">
        <v>49</v>
      </c>
      <c r="G12" s="2" t="s">
        <v>62</v>
      </c>
      <c r="H12" s="2" t="s">
        <v>16</v>
      </c>
      <c r="I12" s="2" t="s">
        <v>63</v>
      </c>
    </row>
    <row r="13" customFormat="false" ht="15" hidden="false" customHeight="false" outlineLevel="0" collapsed="false">
      <c r="A13" s="3"/>
      <c r="B13" s="3" t="s">
        <v>64</v>
      </c>
      <c r="C13" s="3" t="s">
        <v>53</v>
      </c>
      <c r="D13" s="3" t="s">
        <v>47</v>
      </c>
      <c r="E13" s="3" t="s">
        <v>54</v>
      </c>
      <c r="F13" s="3" t="s">
        <v>55</v>
      </c>
      <c r="G13" s="3"/>
      <c r="H13" s="3" t="s">
        <v>16</v>
      </c>
      <c r="I13" s="3"/>
    </row>
    <row r="14" customFormat="false" ht="15" hidden="false" customHeight="false" outlineLevel="0" collapsed="false">
      <c r="A14" s="3"/>
      <c r="B14" s="3" t="s">
        <v>65</v>
      </c>
      <c r="C14" s="3" t="s">
        <v>66</v>
      </c>
      <c r="D14" s="3" t="s">
        <v>24</v>
      </c>
      <c r="E14" s="3" t="s">
        <v>67</v>
      </c>
      <c r="F14" s="3" t="s">
        <v>32</v>
      </c>
      <c r="G14" s="3"/>
      <c r="H14" s="3" t="s">
        <v>33</v>
      </c>
      <c r="I14" s="3" t="s">
        <v>68</v>
      </c>
    </row>
    <row r="15" customFormat="false" ht="15" hidden="false" customHeight="false" outlineLevel="0" collapsed="false">
      <c r="A15" s="2" t="s">
        <v>69</v>
      </c>
      <c r="B15" s="2" t="s">
        <v>70</v>
      </c>
      <c r="C15" s="2" t="s">
        <v>46</v>
      </c>
      <c r="D15" s="2" t="s">
        <v>47</v>
      </c>
      <c r="E15" s="2" t="s">
        <v>48</v>
      </c>
      <c r="F15" s="2" t="s">
        <v>49</v>
      </c>
      <c r="G15" s="2" t="s">
        <v>71</v>
      </c>
      <c r="H15" s="2" t="s">
        <v>16</v>
      </c>
      <c r="I15" s="2" t="s">
        <v>72</v>
      </c>
    </row>
    <row r="16" customFormat="false" ht="15" hidden="false" customHeight="false" outlineLevel="0" collapsed="false">
      <c r="A16" s="3"/>
      <c r="B16" s="3" t="s">
        <v>73</v>
      </c>
      <c r="C16" s="3" t="s">
        <v>53</v>
      </c>
      <c r="D16" s="3" t="s">
        <v>47</v>
      </c>
      <c r="E16" s="3" t="s">
        <v>54</v>
      </c>
      <c r="F16" s="3" t="s">
        <v>55</v>
      </c>
      <c r="G16" s="3"/>
      <c r="H16" s="3" t="s">
        <v>16</v>
      </c>
      <c r="I16" s="3"/>
    </row>
    <row r="17" customFormat="false" ht="15" hidden="false" customHeight="false" outlineLevel="0" collapsed="false">
      <c r="A17" s="2" t="s">
        <v>74</v>
      </c>
      <c r="B17" s="2" t="s">
        <v>75</v>
      </c>
      <c r="C17" s="2" t="s">
        <v>76</v>
      </c>
      <c r="D17" s="2" t="s">
        <v>77</v>
      </c>
      <c r="E17" s="2" t="s">
        <v>78</v>
      </c>
      <c r="F17" s="2" t="s">
        <v>79</v>
      </c>
      <c r="G17" s="2" t="s">
        <v>80</v>
      </c>
      <c r="H17" s="2" t="s">
        <v>27</v>
      </c>
      <c r="I17" s="2" t="s">
        <v>81</v>
      </c>
    </row>
    <row r="18" customFormat="false" ht="15" hidden="false" customHeight="false" outlineLevel="0" collapsed="false">
      <c r="A18" s="3"/>
      <c r="B18" s="3" t="s">
        <v>82</v>
      </c>
      <c r="C18" s="3" t="s">
        <v>83</v>
      </c>
      <c r="D18" s="3" t="s">
        <v>77</v>
      </c>
      <c r="E18" s="3" t="s">
        <v>84</v>
      </c>
      <c r="F18" s="3" t="s">
        <v>85</v>
      </c>
      <c r="G18" s="3"/>
      <c r="H18" s="3" t="s">
        <v>27</v>
      </c>
      <c r="I18" s="3"/>
    </row>
    <row r="19" customFormat="false" ht="15" hidden="false" customHeight="false" outlineLevel="0" collapsed="false">
      <c r="A19" s="3"/>
      <c r="B19" s="3" t="s">
        <v>86</v>
      </c>
      <c r="C19" s="3" t="s">
        <v>87</v>
      </c>
      <c r="D19" s="3" t="s">
        <v>77</v>
      </c>
      <c r="E19" s="3" t="s">
        <v>88</v>
      </c>
      <c r="F19" s="3" t="s">
        <v>89</v>
      </c>
      <c r="G19" s="3"/>
      <c r="H19" s="3" t="s">
        <v>33</v>
      </c>
      <c r="I19" s="3"/>
    </row>
    <row r="20" customFormat="false" ht="15" hidden="false" customHeight="false" outlineLevel="0" collapsed="false">
      <c r="A20" s="3"/>
      <c r="B20" s="3" t="s">
        <v>90</v>
      </c>
      <c r="C20" s="3" t="s">
        <v>91</v>
      </c>
      <c r="D20" s="3" t="s">
        <v>77</v>
      </c>
      <c r="E20" s="3" t="s">
        <v>92</v>
      </c>
      <c r="F20" s="3" t="s">
        <v>93</v>
      </c>
      <c r="G20" s="3"/>
      <c r="H20" s="3" t="s">
        <v>27</v>
      </c>
      <c r="I20" s="3"/>
    </row>
    <row r="21" customFormat="false" ht="15" hidden="false" customHeight="false" outlineLevel="0" collapsed="false">
      <c r="A21" s="3"/>
      <c r="B21" s="3" t="s">
        <v>94</v>
      </c>
      <c r="C21" s="3" t="s">
        <v>95</v>
      </c>
      <c r="D21" s="3" t="s">
        <v>24</v>
      </c>
      <c r="E21" s="3" t="s">
        <v>96</v>
      </c>
      <c r="F21" s="3" t="s">
        <v>32</v>
      </c>
      <c r="G21" s="3"/>
      <c r="H21" s="3" t="s">
        <v>33</v>
      </c>
      <c r="I21" s="3" t="s">
        <v>97</v>
      </c>
    </row>
    <row r="22" customFormat="false" ht="15" hidden="false" customHeight="false" outlineLevel="0" collapsed="false">
      <c r="A22" s="3"/>
      <c r="B22" s="3" t="s">
        <v>98</v>
      </c>
      <c r="C22" s="3" t="s">
        <v>99</v>
      </c>
      <c r="D22" s="3" t="s">
        <v>24</v>
      </c>
      <c r="E22" s="3" t="s">
        <v>100</v>
      </c>
      <c r="F22" s="3" t="s">
        <v>32</v>
      </c>
      <c r="G22" s="3"/>
      <c r="H22" s="3" t="s">
        <v>33</v>
      </c>
      <c r="I22" s="3" t="s">
        <v>101</v>
      </c>
    </row>
    <row r="23" customFormat="false" ht="15" hidden="false" customHeight="false" outlineLevel="0" collapsed="false">
      <c r="A23" s="2" t="s">
        <v>102</v>
      </c>
      <c r="B23" s="2" t="s">
        <v>103</v>
      </c>
      <c r="C23" s="2" t="s">
        <v>104</v>
      </c>
      <c r="D23" s="2" t="s">
        <v>105</v>
      </c>
      <c r="E23" s="2" t="s">
        <v>106</v>
      </c>
      <c r="F23" s="2" t="s">
        <v>107</v>
      </c>
      <c r="G23" s="2" t="s">
        <v>80</v>
      </c>
      <c r="H23" s="2" t="s">
        <v>33</v>
      </c>
      <c r="I23" s="2" t="s">
        <v>108</v>
      </c>
    </row>
    <row r="24" customFormat="false" ht="15" hidden="false" customHeight="false" outlineLevel="0" collapsed="false">
      <c r="A24" s="3"/>
      <c r="B24" s="3" t="s">
        <v>109</v>
      </c>
      <c r="C24" s="3" t="s">
        <v>110</v>
      </c>
      <c r="D24" s="3" t="s">
        <v>105</v>
      </c>
      <c r="E24" s="3" t="s">
        <v>111</v>
      </c>
      <c r="F24" s="3" t="s">
        <v>112</v>
      </c>
      <c r="G24" s="3"/>
      <c r="H24" s="3" t="s">
        <v>27</v>
      </c>
      <c r="I24" s="3" t="s">
        <v>113</v>
      </c>
    </row>
    <row r="25" customFormat="false" ht="15" hidden="false" customHeight="false" outlineLevel="0" collapsed="false">
      <c r="A25" s="3"/>
      <c r="B25" s="3" t="s">
        <v>114</v>
      </c>
      <c r="C25" s="3" t="s">
        <v>115</v>
      </c>
      <c r="D25" s="3" t="s">
        <v>24</v>
      </c>
      <c r="E25" s="3" t="s">
        <v>116</v>
      </c>
      <c r="F25" s="3" t="s">
        <v>26</v>
      </c>
      <c r="G25" s="3"/>
      <c r="H25" s="3" t="s">
        <v>27</v>
      </c>
      <c r="I25" s="3" t="s">
        <v>117</v>
      </c>
    </row>
    <row r="26" customFormat="false" ht="15" hidden="false" customHeight="false" outlineLevel="0" collapsed="false">
      <c r="A26" s="3"/>
      <c r="B26" s="3" t="s">
        <v>118</v>
      </c>
      <c r="C26" s="3" t="s">
        <v>119</v>
      </c>
      <c r="D26" s="3" t="s">
        <v>24</v>
      </c>
      <c r="E26" s="3" t="s">
        <v>120</v>
      </c>
      <c r="F26" s="3" t="s">
        <v>26</v>
      </c>
      <c r="G26" s="3"/>
      <c r="H26" s="3" t="s">
        <v>27</v>
      </c>
      <c r="I26" s="3" t="s">
        <v>121</v>
      </c>
    </row>
    <row r="27" customFormat="false" ht="15" hidden="false" customHeight="false" outlineLevel="0" collapsed="false">
      <c r="A27" s="3"/>
      <c r="B27" s="3" t="s">
        <v>122</v>
      </c>
      <c r="C27" s="3" t="s">
        <v>123</v>
      </c>
      <c r="D27" s="3" t="s">
        <v>24</v>
      </c>
      <c r="E27" s="3" t="s">
        <v>124</v>
      </c>
      <c r="F27" s="3" t="s">
        <v>26</v>
      </c>
      <c r="G27" s="3"/>
      <c r="H27" s="3" t="s">
        <v>27</v>
      </c>
      <c r="I27" s="3" t="s">
        <v>125</v>
      </c>
    </row>
    <row r="28" customFormat="false" ht="15" hidden="false" customHeight="false" outlineLevel="0" collapsed="false">
      <c r="A28" s="3"/>
      <c r="B28" s="3" t="s">
        <v>126</v>
      </c>
      <c r="C28" s="3" t="s">
        <v>80</v>
      </c>
      <c r="D28" s="3" t="s">
        <v>127</v>
      </c>
      <c r="E28" s="3" t="s">
        <v>80</v>
      </c>
      <c r="F28" s="3" t="s">
        <v>80</v>
      </c>
      <c r="G28" s="3"/>
      <c r="H28" s="3" t="s">
        <v>127</v>
      </c>
      <c r="I28" s="3" t="s">
        <v>128</v>
      </c>
    </row>
    <row r="29" customFormat="false" ht="15" hidden="false" customHeight="false" outlineLevel="0" collapsed="false">
      <c r="A29" s="3"/>
      <c r="B29" s="3" t="s">
        <v>129</v>
      </c>
      <c r="C29" s="3" t="s">
        <v>130</v>
      </c>
      <c r="D29" s="3" t="s">
        <v>131</v>
      </c>
      <c r="E29" s="3" t="s">
        <v>132</v>
      </c>
      <c r="F29" s="3" t="s">
        <v>133</v>
      </c>
      <c r="G29" s="3" t="s">
        <v>134</v>
      </c>
      <c r="H29" s="3" t="s">
        <v>16</v>
      </c>
      <c r="I29" s="3" t="s">
        <v>135</v>
      </c>
    </row>
    <row r="30" customFormat="false" ht="15" hidden="false" customHeight="false" outlineLevel="0" collapsed="false">
      <c r="A30" s="3"/>
      <c r="B30" s="3" t="s">
        <v>136</v>
      </c>
      <c r="C30" s="3" t="s">
        <v>137</v>
      </c>
      <c r="D30" s="3" t="s">
        <v>131</v>
      </c>
      <c r="E30" s="3" t="s">
        <v>138</v>
      </c>
      <c r="F30" s="3" t="s">
        <v>139</v>
      </c>
      <c r="G30" s="3"/>
      <c r="H30" s="3" t="s">
        <v>16</v>
      </c>
      <c r="I30" s="3" t="s">
        <v>140</v>
      </c>
    </row>
    <row r="31" customFormat="false" ht="15" hidden="false" customHeight="false" outlineLevel="0" collapsed="false">
      <c r="A31" s="2" t="s">
        <v>141</v>
      </c>
      <c r="B31" s="2" t="s">
        <v>142</v>
      </c>
      <c r="C31" s="2" t="s">
        <v>80</v>
      </c>
      <c r="D31" s="2" t="s">
        <v>80</v>
      </c>
      <c r="E31" s="2" t="s">
        <v>80</v>
      </c>
      <c r="F31" s="2" t="s">
        <v>80</v>
      </c>
      <c r="G31" s="2" t="s">
        <v>80</v>
      </c>
      <c r="H31" s="2" t="s">
        <v>80</v>
      </c>
      <c r="I31" s="2" t="s">
        <v>143</v>
      </c>
    </row>
    <row r="32" customFormat="false" ht="15" hidden="false" customHeight="false" outlineLevel="0" collapsed="false">
      <c r="A32" s="3"/>
      <c r="B32" s="3" t="s">
        <v>144</v>
      </c>
      <c r="C32" s="3" t="s">
        <v>80</v>
      </c>
      <c r="D32" s="3" t="s">
        <v>80</v>
      </c>
      <c r="E32" s="3" t="s">
        <v>80</v>
      </c>
      <c r="F32" s="3" t="s">
        <v>80</v>
      </c>
      <c r="G32" s="3"/>
      <c r="H32" s="3" t="s">
        <v>80</v>
      </c>
      <c r="I32" s="3" t="s">
        <v>145</v>
      </c>
    </row>
    <row r="33" customFormat="false" ht="15" hidden="false" customHeight="false" outlineLevel="0" collapsed="false">
      <c r="A33" s="2" t="s">
        <v>146</v>
      </c>
      <c r="B33" s="2" t="s">
        <v>147</v>
      </c>
      <c r="C33" s="2" t="s">
        <v>148</v>
      </c>
      <c r="D33" s="2" t="s">
        <v>24</v>
      </c>
      <c r="E33" s="2" t="s">
        <v>80</v>
      </c>
      <c r="F33" s="2" t="s">
        <v>32</v>
      </c>
      <c r="G33" s="2" t="s">
        <v>80</v>
      </c>
      <c r="H33" s="2" t="s">
        <v>33</v>
      </c>
      <c r="I33" s="2" t="s">
        <v>149</v>
      </c>
    </row>
    <row r="34" customFormat="false" ht="15" hidden="false" customHeight="false" outlineLevel="0" collapsed="false">
      <c r="A34" s="2" t="s">
        <v>150</v>
      </c>
      <c r="B34" s="2" t="s">
        <v>151</v>
      </c>
      <c r="C34" s="2" t="s">
        <v>152</v>
      </c>
      <c r="D34" s="2" t="s">
        <v>24</v>
      </c>
      <c r="E34" s="2" t="s">
        <v>80</v>
      </c>
      <c r="F34" s="2" t="s">
        <v>32</v>
      </c>
      <c r="G34" s="2" t="s">
        <v>80</v>
      </c>
      <c r="H34" s="2" t="s">
        <v>33</v>
      </c>
      <c r="I34" s="2" t="s">
        <v>153</v>
      </c>
    </row>
    <row r="35" customFormat="false" ht="15" hidden="false" customHeight="false" outlineLevel="0" collapsed="false">
      <c r="A35" s="3"/>
      <c r="B35" s="3" t="s">
        <v>154</v>
      </c>
      <c r="C35" s="3" t="s">
        <v>155</v>
      </c>
      <c r="D35" s="3" t="s">
        <v>24</v>
      </c>
      <c r="E35" s="3" t="s">
        <v>80</v>
      </c>
      <c r="F35" s="3" t="s">
        <v>32</v>
      </c>
      <c r="G35" s="3"/>
      <c r="H35" s="3" t="s">
        <v>33</v>
      </c>
      <c r="I35" s="3" t="s">
        <v>153</v>
      </c>
    </row>
    <row r="36" customFormat="false" ht="15" hidden="false" customHeight="false" outlineLevel="0" collapsed="false">
      <c r="A36" s="3"/>
      <c r="B36" s="3" t="s">
        <v>156</v>
      </c>
      <c r="C36" s="3" t="s">
        <v>157</v>
      </c>
      <c r="D36" s="3" t="s">
        <v>24</v>
      </c>
      <c r="E36" s="3" t="s">
        <v>80</v>
      </c>
      <c r="F36" s="3" t="s">
        <v>32</v>
      </c>
      <c r="G36" s="3"/>
      <c r="H36" s="3" t="s">
        <v>33</v>
      </c>
      <c r="I36" s="3" t="s">
        <v>153</v>
      </c>
    </row>
    <row r="37" customFormat="false" ht="15" hidden="false" customHeight="false" outlineLevel="0" collapsed="false">
      <c r="A37" s="2" t="s">
        <v>158</v>
      </c>
      <c r="B37" s="2" t="s">
        <v>159</v>
      </c>
      <c r="C37" s="2" t="s">
        <v>160</v>
      </c>
      <c r="D37" s="2" t="s">
        <v>24</v>
      </c>
      <c r="E37" s="2" t="s">
        <v>80</v>
      </c>
      <c r="F37" s="2" t="s">
        <v>32</v>
      </c>
      <c r="G37" s="2" t="s">
        <v>80</v>
      </c>
      <c r="H37" s="2" t="s">
        <v>33</v>
      </c>
      <c r="I37" s="2" t="s">
        <v>153</v>
      </c>
    </row>
    <row r="38" customFormat="false" ht="15" hidden="false" customHeight="false" outlineLevel="0" collapsed="false">
      <c r="A38" s="3"/>
      <c r="B38" s="3" t="s">
        <v>161</v>
      </c>
      <c r="C38" s="3" t="s">
        <v>162</v>
      </c>
      <c r="D38" s="3" t="s">
        <v>24</v>
      </c>
      <c r="E38" s="3" t="s">
        <v>80</v>
      </c>
      <c r="F38" s="3" t="s">
        <v>32</v>
      </c>
      <c r="G38" s="3"/>
      <c r="H38" s="3" t="s">
        <v>33</v>
      </c>
      <c r="I38" s="3" t="s">
        <v>163</v>
      </c>
    </row>
  </sheetData>
  <autoFilter ref="A1:I38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548235"/>
    <pageSetUpPr fitToPage="false"/>
  </sheetPr>
  <dimension ref="A1:H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10"/>
    <col collapsed="false" customWidth="true" hidden="false" outlineLevel="0" max="3" min="3" style="0" width="30"/>
    <col collapsed="false" customWidth="true" hidden="false" outlineLevel="0" max="4" min="4" style="0" width="16"/>
    <col collapsed="false" customWidth="true" hidden="false" outlineLevel="0" max="5" min="5" style="0" width="30"/>
    <col collapsed="false" customWidth="true" hidden="false" outlineLevel="0" max="6" min="6" style="0" width="26"/>
    <col collapsed="false" customWidth="true" hidden="false" outlineLevel="0" max="7" min="7" style="0" width="32"/>
    <col collapsed="false" customWidth="true" hidden="false" outlineLevel="0" max="8" min="8" style="0" width="50"/>
  </cols>
  <sheetData>
    <row r="1" customFormat="false" ht="15" hidden="false" customHeight="false" outlineLevel="0" collapsed="false">
      <c r="A1" s="1" t="s">
        <v>164</v>
      </c>
      <c r="B1" s="1" t="s">
        <v>165</v>
      </c>
      <c r="C1" s="1" t="s">
        <v>166</v>
      </c>
      <c r="D1" s="1" t="s">
        <v>167</v>
      </c>
      <c r="E1" s="1" t="s">
        <v>168</v>
      </c>
      <c r="F1" s="1" t="s">
        <v>169</v>
      </c>
      <c r="G1" s="1" t="s">
        <v>170</v>
      </c>
      <c r="H1" s="1" t="s">
        <v>8</v>
      </c>
    </row>
    <row r="2" customFormat="false" ht="15" hidden="false" customHeight="false" outlineLevel="0" collapsed="false">
      <c r="A2" s="4" t="s">
        <v>12</v>
      </c>
      <c r="B2" s="4" t="s">
        <v>171</v>
      </c>
      <c r="C2" s="4" t="s">
        <v>172</v>
      </c>
      <c r="D2" s="4" t="s">
        <v>173</v>
      </c>
      <c r="E2" s="4" t="s">
        <v>174</v>
      </c>
      <c r="F2" s="4" t="s">
        <v>175</v>
      </c>
      <c r="G2" s="4" t="s">
        <v>176</v>
      </c>
      <c r="H2" s="4" t="s">
        <v>177</v>
      </c>
    </row>
    <row r="3" customFormat="false" ht="15" hidden="false" customHeight="false" outlineLevel="0" collapsed="false">
      <c r="A3" s="4" t="s">
        <v>47</v>
      </c>
      <c r="B3" s="4" t="s">
        <v>171</v>
      </c>
      <c r="C3" s="4" t="s">
        <v>178</v>
      </c>
      <c r="D3" s="4" t="s">
        <v>179</v>
      </c>
      <c r="E3" s="4" t="s">
        <v>180</v>
      </c>
      <c r="F3" s="4" t="s">
        <v>181</v>
      </c>
      <c r="G3" s="4" t="s">
        <v>182</v>
      </c>
      <c r="H3" s="4" t="s">
        <v>183</v>
      </c>
    </row>
    <row r="4" customFormat="false" ht="15" hidden="false" customHeight="false" outlineLevel="0" collapsed="false">
      <c r="A4" s="4" t="s">
        <v>131</v>
      </c>
      <c r="B4" s="4" t="s">
        <v>171</v>
      </c>
      <c r="C4" s="4" t="s">
        <v>184</v>
      </c>
      <c r="D4" s="4" t="s">
        <v>185</v>
      </c>
      <c r="E4" s="4" t="s">
        <v>186</v>
      </c>
      <c r="F4" s="4" t="s">
        <v>187</v>
      </c>
      <c r="G4" s="4" t="s">
        <v>188</v>
      </c>
      <c r="H4" s="4" t="s">
        <v>189</v>
      </c>
    </row>
    <row r="5" customFormat="false" ht="15" hidden="false" customHeight="false" outlineLevel="0" collapsed="false">
      <c r="A5" s="4" t="s">
        <v>77</v>
      </c>
      <c r="B5" s="4" t="s">
        <v>190</v>
      </c>
      <c r="C5" s="4" t="s">
        <v>191</v>
      </c>
      <c r="D5" s="4" t="s">
        <v>192</v>
      </c>
      <c r="E5" s="4" t="s">
        <v>193</v>
      </c>
      <c r="F5" s="4" t="s">
        <v>194</v>
      </c>
      <c r="G5" s="4" t="s">
        <v>195</v>
      </c>
      <c r="H5" s="4" t="s">
        <v>196</v>
      </c>
    </row>
    <row r="6" customFormat="false" ht="15" hidden="false" customHeight="false" outlineLevel="0" collapsed="false">
      <c r="A6" s="4" t="s">
        <v>105</v>
      </c>
      <c r="B6" s="4" t="s">
        <v>197</v>
      </c>
      <c r="C6" s="4" t="s">
        <v>198</v>
      </c>
      <c r="D6" s="4" t="s">
        <v>199</v>
      </c>
      <c r="E6" s="4" t="s">
        <v>200</v>
      </c>
      <c r="F6" s="4" t="s">
        <v>194</v>
      </c>
      <c r="G6" s="4" t="s">
        <v>201</v>
      </c>
      <c r="H6" s="4" t="s">
        <v>202</v>
      </c>
    </row>
    <row r="7" customFormat="false" ht="15" hidden="false" customHeight="false" outlineLevel="0" collapsed="false">
      <c r="A7" s="4" t="s">
        <v>203</v>
      </c>
      <c r="B7" s="4" t="s">
        <v>204</v>
      </c>
      <c r="C7" s="4" t="s">
        <v>205</v>
      </c>
      <c r="D7" s="4" t="s">
        <v>80</v>
      </c>
      <c r="E7" s="4" t="s">
        <v>206</v>
      </c>
      <c r="F7" s="4" t="s">
        <v>194</v>
      </c>
      <c r="G7" s="4" t="s">
        <v>80</v>
      </c>
      <c r="H7" s="4" t="s">
        <v>207</v>
      </c>
    </row>
    <row r="8" customFormat="false" ht="15" hidden="false" customHeight="false" outlineLevel="0" collapsed="false">
      <c r="A8" s="4" t="s">
        <v>208</v>
      </c>
      <c r="B8" s="4" t="s">
        <v>209</v>
      </c>
      <c r="C8" s="4" t="s">
        <v>210</v>
      </c>
      <c r="D8" s="4" t="s">
        <v>80</v>
      </c>
      <c r="E8" s="4" t="s">
        <v>211</v>
      </c>
      <c r="F8" s="4" t="s">
        <v>194</v>
      </c>
      <c r="G8" s="4" t="s">
        <v>80</v>
      </c>
      <c r="H8" s="4" t="s">
        <v>212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BF8F00"/>
    <pageSetUpPr fitToPage="false"/>
  </sheetPr>
  <dimension ref="A1:F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18"/>
    <col collapsed="false" customWidth="true" hidden="false" outlineLevel="0" max="3" min="3" style="0" width="14"/>
    <col collapsed="false" customWidth="true" hidden="false" outlineLevel="0" max="4" min="4" style="0" width="10"/>
    <col collapsed="false" customWidth="true" hidden="false" outlineLevel="0" max="5" min="5" style="0" width="32"/>
    <col collapsed="false" customWidth="true" hidden="false" outlineLevel="0" max="6" min="6" style="0" width="18"/>
  </cols>
  <sheetData>
    <row r="1" customFormat="false" ht="15" hidden="false" customHeight="false" outlineLevel="0" collapsed="false">
      <c r="A1" s="1" t="s">
        <v>164</v>
      </c>
      <c r="B1" s="1" t="s">
        <v>213</v>
      </c>
      <c r="C1" s="1" t="s">
        <v>214</v>
      </c>
      <c r="D1" s="1" t="s">
        <v>215</v>
      </c>
      <c r="E1" s="1" t="s">
        <v>216</v>
      </c>
      <c r="F1" s="1" t="s">
        <v>217</v>
      </c>
    </row>
    <row r="2" customFormat="false" ht="15" hidden="false" customHeight="false" outlineLevel="0" collapsed="false">
      <c r="A2" s="3" t="s">
        <v>12</v>
      </c>
      <c r="B2" s="3" t="s">
        <v>218</v>
      </c>
      <c r="C2" s="3" t="s">
        <v>219</v>
      </c>
      <c r="D2" s="3" t="s">
        <v>15</v>
      </c>
      <c r="E2" s="3" t="s">
        <v>220</v>
      </c>
      <c r="F2" s="3" t="s">
        <v>221</v>
      </c>
    </row>
    <row r="3" customFormat="false" ht="15" hidden="false" customHeight="false" outlineLevel="0" collapsed="false">
      <c r="A3" s="3" t="s">
        <v>12</v>
      </c>
      <c r="B3" s="3" t="s">
        <v>222</v>
      </c>
      <c r="C3" s="3" t="s">
        <v>223</v>
      </c>
      <c r="D3" s="3" t="s">
        <v>37</v>
      </c>
      <c r="E3" s="3" t="s">
        <v>220</v>
      </c>
      <c r="F3" s="3" t="s">
        <v>221</v>
      </c>
    </row>
    <row r="4" customFormat="false" ht="15" hidden="false" customHeight="false" outlineLevel="0" collapsed="false">
      <c r="A4" s="3" t="s">
        <v>47</v>
      </c>
      <c r="B4" s="3" t="s">
        <v>224</v>
      </c>
      <c r="C4" s="3" t="s">
        <v>225</v>
      </c>
      <c r="D4" s="3" t="s">
        <v>50</v>
      </c>
      <c r="E4" s="3" t="s">
        <v>220</v>
      </c>
      <c r="F4" s="3" t="s">
        <v>221</v>
      </c>
    </row>
    <row r="5" customFormat="false" ht="15" hidden="false" customHeight="false" outlineLevel="0" collapsed="false">
      <c r="A5" s="3" t="s">
        <v>47</v>
      </c>
      <c r="B5" s="3" t="s">
        <v>226</v>
      </c>
      <c r="C5" s="3" t="s">
        <v>227</v>
      </c>
      <c r="D5" s="3" t="s">
        <v>62</v>
      </c>
      <c r="E5" s="3" t="s">
        <v>228</v>
      </c>
      <c r="F5" s="3" t="s">
        <v>221</v>
      </c>
    </row>
    <row r="6" customFormat="false" ht="15" hidden="false" customHeight="false" outlineLevel="0" collapsed="false">
      <c r="A6" s="3" t="s">
        <v>47</v>
      </c>
      <c r="B6" s="3" t="s">
        <v>229</v>
      </c>
      <c r="C6" s="3" t="s">
        <v>230</v>
      </c>
      <c r="D6" s="3" t="s">
        <v>71</v>
      </c>
      <c r="E6" s="3" t="s">
        <v>220</v>
      </c>
      <c r="F6" s="3" t="s">
        <v>221</v>
      </c>
    </row>
    <row r="7" customFormat="false" ht="15" hidden="false" customHeight="false" outlineLevel="0" collapsed="false">
      <c r="A7" s="3" t="s">
        <v>131</v>
      </c>
      <c r="B7" s="3" t="s">
        <v>200</v>
      </c>
      <c r="C7" s="3" t="s">
        <v>231</v>
      </c>
      <c r="D7" s="3" t="s">
        <v>80</v>
      </c>
      <c r="E7" s="3" t="s">
        <v>232</v>
      </c>
      <c r="F7" s="3" t="s">
        <v>233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00000"/>
    <pageSetUpPr fitToPage="false"/>
  </sheetPr>
  <dimension ref="A1:G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10"/>
    <col collapsed="false" customWidth="true" hidden="false" outlineLevel="0" max="3" min="3" style="0" width="18"/>
    <col collapsed="false" customWidth="true" hidden="false" outlineLevel="0" max="4" min="4" style="0" width="22"/>
    <col collapsed="false" customWidth="true" hidden="false" outlineLevel="0" max="5" min="5" style="0" width="18"/>
    <col collapsed="false" customWidth="true" hidden="false" outlineLevel="0" max="6" min="6" style="0" width="48"/>
    <col collapsed="false" customWidth="true" hidden="false" outlineLevel="0" max="7" min="7" style="0" width="50"/>
  </cols>
  <sheetData>
    <row r="1" customFormat="false" ht="15" hidden="false" customHeight="false" outlineLevel="0" collapsed="false">
      <c r="A1" s="1" t="s">
        <v>234</v>
      </c>
      <c r="B1" s="1" t="s">
        <v>24</v>
      </c>
      <c r="C1" s="1" t="s">
        <v>165</v>
      </c>
      <c r="D1" s="1" t="s">
        <v>235</v>
      </c>
      <c r="E1" s="1" t="s">
        <v>236</v>
      </c>
      <c r="F1" s="1" t="s">
        <v>237</v>
      </c>
      <c r="G1" s="1" t="s">
        <v>238</v>
      </c>
    </row>
    <row r="2" customFormat="false" ht="15" hidden="false" customHeight="false" outlineLevel="0" collapsed="false">
      <c r="A2" s="5" t="s">
        <v>239</v>
      </c>
      <c r="B2" s="5" t="s">
        <v>240</v>
      </c>
      <c r="C2" s="5" t="s">
        <v>241</v>
      </c>
      <c r="D2" s="5" t="s">
        <v>242</v>
      </c>
      <c r="E2" s="5" t="s">
        <v>243</v>
      </c>
      <c r="F2" s="5" t="s">
        <v>244</v>
      </c>
      <c r="G2" s="6" t="s">
        <v>245</v>
      </c>
    </row>
    <row r="3" customFormat="false" ht="15" hidden="false" customHeight="false" outlineLevel="0" collapsed="false">
      <c r="A3" s="5" t="s">
        <v>246</v>
      </c>
      <c r="B3" s="5" t="s">
        <v>247</v>
      </c>
      <c r="C3" s="5" t="s">
        <v>241</v>
      </c>
      <c r="D3" s="5" t="s">
        <v>248</v>
      </c>
      <c r="E3" s="5" t="s">
        <v>249</v>
      </c>
      <c r="F3" s="5" t="s">
        <v>250</v>
      </c>
      <c r="G3" s="6" t="s">
        <v>251</v>
      </c>
    </row>
    <row r="4" customFormat="false" ht="15" hidden="false" customHeight="false" outlineLevel="0" collapsed="false">
      <c r="A4" s="5" t="s">
        <v>252</v>
      </c>
      <c r="B4" s="5" t="s">
        <v>253</v>
      </c>
      <c r="C4" s="5" t="s">
        <v>241</v>
      </c>
      <c r="D4" s="5" t="s">
        <v>254</v>
      </c>
      <c r="E4" s="5" t="s">
        <v>255</v>
      </c>
      <c r="F4" s="5" t="s">
        <v>256</v>
      </c>
      <c r="G4" s="6" t="s">
        <v>257</v>
      </c>
    </row>
    <row r="5" customFormat="false" ht="15" hidden="false" customHeight="false" outlineLevel="0" collapsed="false">
      <c r="A5" s="3" t="s">
        <v>29</v>
      </c>
      <c r="B5" s="3" t="s">
        <v>30</v>
      </c>
      <c r="C5" s="3" t="s">
        <v>258</v>
      </c>
      <c r="D5" s="3" t="s">
        <v>259</v>
      </c>
      <c r="E5" s="3" t="s">
        <v>249</v>
      </c>
      <c r="F5" s="3" t="s">
        <v>260</v>
      </c>
      <c r="G5" s="3"/>
    </row>
    <row r="6" customFormat="false" ht="15" hidden="false" customHeight="false" outlineLevel="0" collapsed="false">
      <c r="A6" s="3" t="s">
        <v>40</v>
      </c>
      <c r="B6" s="3" t="s">
        <v>41</v>
      </c>
      <c r="C6" s="3" t="s">
        <v>258</v>
      </c>
      <c r="D6" s="3" t="s">
        <v>259</v>
      </c>
      <c r="E6" s="3" t="s">
        <v>249</v>
      </c>
      <c r="F6" s="3" t="s">
        <v>261</v>
      </c>
      <c r="G6" s="3"/>
    </row>
    <row r="7" customFormat="false" ht="15" hidden="false" customHeight="false" outlineLevel="0" collapsed="false">
      <c r="A7" s="3" t="s">
        <v>56</v>
      </c>
      <c r="B7" s="3" t="s">
        <v>57</v>
      </c>
      <c r="C7" s="3" t="s">
        <v>262</v>
      </c>
      <c r="D7" s="3" t="s">
        <v>263</v>
      </c>
      <c r="E7" s="3" t="s">
        <v>80</v>
      </c>
      <c r="F7" s="3" t="s">
        <v>264</v>
      </c>
      <c r="G7" s="3"/>
    </row>
    <row r="8" customFormat="false" ht="15" hidden="false" customHeight="false" outlineLevel="0" collapsed="false">
      <c r="A8" s="3" t="s">
        <v>65</v>
      </c>
      <c r="B8" s="3" t="s">
        <v>66</v>
      </c>
      <c r="C8" s="3" t="s">
        <v>262</v>
      </c>
      <c r="D8" s="3" t="s">
        <v>263</v>
      </c>
      <c r="E8" s="3" t="s">
        <v>80</v>
      </c>
      <c r="F8" s="3" t="s">
        <v>264</v>
      </c>
      <c r="G8" s="3"/>
    </row>
    <row r="9" customFormat="false" ht="15" hidden="false" customHeight="false" outlineLevel="0" collapsed="false">
      <c r="A9" s="3" t="s">
        <v>94</v>
      </c>
      <c r="B9" s="3" t="s">
        <v>95</v>
      </c>
      <c r="C9" s="3" t="s">
        <v>262</v>
      </c>
      <c r="D9" s="3" t="s">
        <v>263</v>
      </c>
      <c r="E9" s="3" t="s">
        <v>80</v>
      </c>
      <c r="F9" s="3" t="s">
        <v>264</v>
      </c>
      <c r="G9" s="3"/>
    </row>
    <row r="10" customFormat="false" ht="15" hidden="false" customHeight="false" outlineLevel="0" collapsed="false">
      <c r="A10" s="3" t="s">
        <v>98</v>
      </c>
      <c r="B10" s="3" t="s">
        <v>99</v>
      </c>
      <c r="C10" s="3" t="s">
        <v>262</v>
      </c>
      <c r="D10" s="3" t="s">
        <v>263</v>
      </c>
      <c r="E10" s="3" t="s">
        <v>80</v>
      </c>
      <c r="F10" s="3" t="s">
        <v>264</v>
      </c>
      <c r="G10" s="3"/>
    </row>
    <row r="11" customFormat="false" ht="15" hidden="false" customHeight="false" outlineLevel="0" collapsed="false">
      <c r="A11" s="5" t="s">
        <v>265</v>
      </c>
      <c r="B11" s="5" t="s">
        <v>148</v>
      </c>
      <c r="C11" s="5" t="s">
        <v>266</v>
      </c>
      <c r="D11" s="5" t="s">
        <v>259</v>
      </c>
      <c r="E11" s="5" t="s">
        <v>249</v>
      </c>
      <c r="F11" s="5" t="s">
        <v>267</v>
      </c>
      <c r="G11" s="6" t="s">
        <v>268</v>
      </c>
    </row>
    <row r="12" customFormat="false" ht="15" hidden="false" customHeight="false" outlineLevel="0" collapsed="false">
      <c r="A12" s="5" t="s">
        <v>151</v>
      </c>
      <c r="B12" s="5" t="s">
        <v>152</v>
      </c>
      <c r="C12" s="5" t="s">
        <v>269</v>
      </c>
      <c r="D12" s="5" t="s">
        <v>259</v>
      </c>
      <c r="E12" s="5" t="s">
        <v>249</v>
      </c>
      <c r="F12" s="5" t="s">
        <v>270</v>
      </c>
      <c r="G12" s="6" t="s">
        <v>271</v>
      </c>
    </row>
    <row r="13" customFormat="false" ht="15" hidden="false" customHeight="false" outlineLevel="0" collapsed="false">
      <c r="A13" s="5" t="s">
        <v>154</v>
      </c>
      <c r="B13" s="5" t="s">
        <v>155</v>
      </c>
      <c r="C13" s="5" t="s">
        <v>269</v>
      </c>
      <c r="D13" s="5" t="s">
        <v>259</v>
      </c>
      <c r="E13" s="5" t="s">
        <v>249</v>
      </c>
      <c r="F13" s="5" t="s">
        <v>270</v>
      </c>
      <c r="G13" s="6" t="s">
        <v>271</v>
      </c>
    </row>
    <row r="14" customFormat="false" ht="15" hidden="false" customHeight="false" outlineLevel="0" collapsed="false">
      <c r="A14" s="5" t="s">
        <v>156</v>
      </c>
      <c r="B14" s="5" t="s">
        <v>157</v>
      </c>
      <c r="C14" s="5" t="s">
        <v>272</v>
      </c>
      <c r="D14" s="5" t="s">
        <v>259</v>
      </c>
      <c r="E14" s="5" t="s">
        <v>249</v>
      </c>
      <c r="F14" s="5" t="s">
        <v>270</v>
      </c>
      <c r="G14" s="6" t="s">
        <v>271</v>
      </c>
    </row>
    <row r="15" customFormat="false" ht="15" hidden="false" customHeight="false" outlineLevel="0" collapsed="false">
      <c r="A15" s="5" t="s">
        <v>159</v>
      </c>
      <c r="B15" s="5" t="s">
        <v>160</v>
      </c>
      <c r="C15" s="5" t="s">
        <v>272</v>
      </c>
      <c r="D15" s="5" t="s">
        <v>259</v>
      </c>
      <c r="E15" s="5" t="s">
        <v>249</v>
      </c>
      <c r="F15" s="5" t="s">
        <v>270</v>
      </c>
      <c r="G15" s="6" t="s">
        <v>271</v>
      </c>
    </row>
    <row r="16" customFormat="false" ht="15" hidden="false" customHeight="false" outlineLevel="0" collapsed="false">
      <c r="A16" s="5" t="s">
        <v>161</v>
      </c>
      <c r="B16" s="5" t="s">
        <v>162</v>
      </c>
      <c r="C16" s="5" t="s">
        <v>272</v>
      </c>
      <c r="D16" s="5" t="s">
        <v>259</v>
      </c>
      <c r="E16" s="5" t="s">
        <v>249</v>
      </c>
      <c r="F16" s="5" t="s">
        <v>270</v>
      </c>
      <c r="G16" s="6" t="s">
        <v>273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7030A0"/>
    <pageSetUpPr fitToPage="false"/>
  </sheetPr>
  <dimension ref="A1:F2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28"/>
    <col collapsed="false" customWidth="true" hidden="false" outlineLevel="0" max="3" min="3" style="0" width="10"/>
    <col collapsed="false" customWidth="true" hidden="false" outlineLevel="0" max="4" min="4" style="0" width="12"/>
    <col collapsed="false" customWidth="true" hidden="false" outlineLevel="0" max="5" min="5" style="0" width="18"/>
    <col collapsed="false" customWidth="true" hidden="false" outlineLevel="0" max="6" min="6" style="0" width="50"/>
  </cols>
  <sheetData>
    <row r="1" customFormat="false" ht="23.85" hidden="false" customHeight="false" outlineLevel="0" collapsed="false">
      <c r="A1" s="1" t="s">
        <v>24</v>
      </c>
      <c r="B1" s="1" t="s">
        <v>274</v>
      </c>
      <c r="C1" s="1" t="s">
        <v>7</v>
      </c>
      <c r="D1" s="1" t="s">
        <v>275</v>
      </c>
      <c r="E1" s="1" t="s">
        <v>276</v>
      </c>
      <c r="F1" s="1" t="s">
        <v>8</v>
      </c>
    </row>
    <row r="2" customFormat="false" ht="15" hidden="false" customHeight="false" outlineLevel="0" collapsed="false">
      <c r="A2" s="3" t="s">
        <v>162</v>
      </c>
      <c r="B2" s="3" t="s">
        <v>161</v>
      </c>
      <c r="C2" s="3" t="s">
        <v>33</v>
      </c>
      <c r="D2" s="3" t="s">
        <v>24</v>
      </c>
      <c r="E2" s="3" t="s">
        <v>277</v>
      </c>
      <c r="F2" s="3" t="s">
        <v>278</v>
      </c>
    </row>
    <row r="3" customFormat="false" ht="15" hidden="false" customHeight="false" outlineLevel="0" collapsed="false">
      <c r="A3" s="3" t="s">
        <v>148</v>
      </c>
      <c r="B3" s="3" t="s">
        <v>146</v>
      </c>
      <c r="C3" s="3" t="s">
        <v>33</v>
      </c>
      <c r="D3" s="3" t="s">
        <v>24</v>
      </c>
      <c r="E3" s="3" t="s">
        <v>277</v>
      </c>
      <c r="F3" s="3" t="s">
        <v>279</v>
      </c>
    </row>
    <row r="4" customFormat="false" ht="15" hidden="false" customHeight="false" outlineLevel="0" collapsed="false">
      <c r="A4" s="3" t="s">
        <v>19</v>
      </c>
      <c r="B4" s="3" t="s">
        <v>280</v>
      </c>
      <c r="C4" s="3" t="s">
        <v>16</v>
      </c>
      <c r="D4" s="3" t="s">
        <v>12</v>
      </c>
      <c r="E4" s="3" t="s">
        <v>281</v>
      </c>
      <c r="F4" s="3" t="s">
        <v>282</v>
      </c>
    </row>
    <row r="5" customFormat="false" ht="15" hidden="false" customHeight="false" outlineLevel="0" collapsed="false">
      <c r="A5" s="3" t="s">
        <v>11</v>
      </c>
      <c r="B5" s="3" t="s">
        <v>283</v>
      </c>
      <c r="C5" s="3" t="s">
        <v>16</v>
      </c>
      <c r="D5" s="3" t="s">
        <v>12</v>
      </c>
      <c r="E5" s="3" t="s">
        <v>281</v>
      </c>
      <c r="F5" s="3" t="s">
        <v>282</v>
      </c>
    </row>
    <row r="6" customFormat="false" ht="15" hidden="false" customHeight="false" outlineLevel="0" collapsed="false">
      <c r="A6" s="3" t="s">
        <v>53</v>
      </c>
      <c r="B6" s="3" t="s">
        <v>284</v>
      </c>
      <c r="C6" s="3" t="s">
        <v>16</v>
      </c>
      <c r="D6" s="3" t="s">
        <v>47</v>
      </c>
      <c r="E6" s="3" t="s">
        <v>285</v>
      </c>
      <c r="F6" s="3" t="s">
        <v>286</v>
      </c>
    </row>
    <row r="7" customFormat="false" ht="15" hidden="false" customHeight="false" outlineLevel="0" collapsed="false">
      <c r="A7" s="3" t="s">
        <v>46</v>
      </c>
      <c r="B7" s="3" t="s">
        <v>287</v>
      </c>
      <c r="C7" s="3" t="s">
        <v>16</v>
      </c>
      <c r="D7" s="3" t="s">
        <v>47</v>
      </c>
      <c r="E7" s="3" t="s">
        <v>285</v>
      </c>
      <c r="F7" s="3" t="s">
        <v>286</v>
      </c>
    </row>
    <row r="8" customFormat="false" ht="15" hidden="false" customHeight="false" outlineLevel="0" collapsed="false">
      <c r="A8" s="3" t="s">
        <v>137</v>
      </c>
      <c r="B8" s="3" t="s">
        <v>288</v>
      </c>
      <c r="C8" s="3" t="s">
        <v>16</v>
      </c>
      <c r="D8" s="3" t="s">
        <v>131</v>
      </c>
      <c r="E8" s="3" t="s">
        <v>289</v>
      </c>
      <c r="F8" s="3" t="s">
        <v>290</v>
      </c>
    </row>
    <row r="9" customFormat="false" ht="15" hidden="false" customHeight="false" outlineLevel="0" collapsed="false">
      <c r="A9" s="3" t="s">
        <v>130</v>
      </c>
      <c r="B9" s="3" t="s">
        <v>291</v>
      </c>
      <c r="C9" s="3" t="s">
        <v>16</v>
      </c>
      <c r="D9" s="3" t="s">
        <v>131</v>
      </c>
      <c r="E9" s="3" t="s">
        <v>289</v>
      </c>
      <c r="F9" s="3" t="s">
        <v>290</v>
      </c>
    </row>
    <row r="10" customFormat="false" ht="15" hidden="false" customHeight="false" outlineLevel="0" collapsed="false">
      <c r="A10" s="3" t="s">
        <v>76</v>
      </c>
      <c r="B10" s="3" t="s">
        <v>292</v>
      </c>
      <c r="C10" s="3" t="s">
        <v>27</v>
      </c>
      <c r="D10" s="3" t="s">
        <v>77</v>
      </c>
      <c r="E10" s="3" t="s">
        <v>293</v>
      </c>
      <c r="F10" s="3" t="s">
        <v>294</v>
      </c>
    </row>
    <row r="11" customFormat="false" ht="15" hidden="false" customHeight="false" outlineLevel="0" collapsed="false">
      <c r="A11" s="3" t="s">
        <v>87</v>
      </c>
      <c r="B11" s="3" t="s">
        <v>295</v>
      </c>
      <c r="C11" s="3" t="s">
        <v>33</v>
      </c>
      <c r="D11" s="3" t="s">
        <v>77</v>
      </c>
      <c r="E11" s="3" t="s">
        <v>293</v>
      </c>
      <c r="F11" s="3" t="s">
        <v>296</v>
      </c>
    </row>
    <row r="12" customFormat="false" ht="15" hidden="false" customHeight="false" outlineLevel="0" collapsed="false">
      <c r="A12" s="3" t="s">
        <v>83</v>
      </c>
      <c r="B12" s="3" t="s">
        <v>297</v>
      </c>
      <c r="C12" s="3" t="s">
        <v>27</v>
      </c>
      <c r="D12" s="3" t="s">
        <v>77</v>
      </c>
      <c r="E12" s="3" t="s">
        <v>293</v>
      </c>
      <c r="F12" s="3" t="s">
        <v>298</v>
      </c>
    </row>
    <row r="13" customFormat="false" ht="15" hidden="false" customHeight="false" outlineLevel="0" collapsed="false">
      <c r="A13" s="3" t="s">
        <v>91</v>
      </c>
      <c r="B13" s="3" t="s">
        <v>299</v>
      </c>
      <c r="C13" s="3" t="s">
        <v>27</v>
      </c>
      <c r="D13" s="3" t="s">
        <v>77</v>
      </c>
      <c r="E13" s="3" t="s">
        <v>293</v>
      </c>
      <c r="F13" s="3" t="s">
        <v>300</v>
      </c>
    </row>
    <row r="14" customFormat="false" ht="15" hidden="false" customHeight="false" outlineLevel="0" collapsed="false">
      <c r="A14" s="3" t="s">
        <v>152</v>
      </c>
      <c r="B14" s="3" t="s">
        <v>301</v>
      </c>
      <c r="C14" s="3" t="s">
        <v>33</v>
      </c>
      <c r="D14" s="3" t="s">
        <v>24</v>
      </c>
      <c r="E14" s="3" t="s">
        <v>277</v>
      </c>
      <c r="F14" s="3" t="s">
        <v>302</v>
      </c>
    </row>
    <row r="15" customFormat="false" ht="15" hidden="false" customHeight="false" outlineLevel="0" collapsed="false">
      <c r="A15" s="3" t="s">
        <v>155</v>
      </c>
      <c r="B15" s="3" t="s">
        <v>303</v>
      </c>
      <c r="C15" s="3" t="s">
        <v>33</v>
      </c>
      <c r="D15" s="3" t="s">
        <v>24</v>
      </c>
      <c r="E15" s="3" t="s">
        <v>277</v>
      </c>
      <c r="F15" s="3" t="s">
        <v>304</v>
      </c>
    </row>
    <row r="16" customFormat="false" ht="15" hidden="false" customHeight="false" outlineLevel="0" collapsed="false">
      <c r="A16" s="3" t="s">
        <v>110</v>
      </c>
      <c r="B16" s="3" t="s">
        <v>305</v>
      </c>
      <c r="C16" s="3" t="s">
        <v>27</v>
      </c>
      <c r="D16" s="3" t="s">
        <v>105</v>
      </c>
      <c r="E16" s="3" t="s">
        <v>293</v>
      </c>
      <c r="F16" s="3" t="s">
        <v>306</v>
      </c>
    </row>
    <row r="17" customFormat="false" ht="15" hidden="false" customHeight="false" outlineLevel="0" collapsed="false">
      <c r="A17" s="3" t="s">
        <v>104</v>
      </c>
      <c r="B17" s="3" t="s">
        <v>307</v>
      </c>
      <c r="C17" s="3" t="s">
        <v>33</v>
      </c>
      <c r="D17" s="3" t="s">
        <v>105</v>
      </c>
      <c r="E17" s="3" t="s">
        <v>293</v>
      </c>
      <c r="F17" s="3" t="s">
        <v>308</v>
      </c>
    </row>
    <row r="18" customFormat="false" ht="15" hidden="false" customHeight="false" outlineLevel="0" collapsed="false">
      <c r="A18" s="3" t="s">
        <v>115</v>
      </c>
      <c r="B18" s="3" t="s">
        <v>114</v>
      </c>
      <c r="C18" s="3" t="s">
        <v>27</v>
      </c>
      <c r="D18" s="3" t="s">
        <v>24</v>
      </c>
      <c r="E18" s="3" t="s">
        <v>293</v>
      </c>
      <c r="F18" s="3" t="s">
        <v>309</v>
      </c>
    </row>
    <row r="19" customFormat="false" ht="15" hidden="false" customHeight="false" outlineLevel="0" collapsed="false">
      <c r="A19" s="3" t="s">
        <v>23</v>
      </c>
      <c r="B19" s="3" t="s">
        <v>22</v>
      </c>
      <c r="C19" s="3" t="s">
        <v>27</v>
      </c>
      <c r="D19" s="3" t="s">
        <v>24</v>
      </c>
      <c r="E19" s="3" t="s">
        <v>293</v>
      </c>
      <c r="F19" s="3" t="s">
        <v>310</v>
      </c>
    </row>
    <row r="20" customFormat="false" ht="15" hidden="false" customHeight="false" outlineLevel="0" collapsed="false">
      <c r="A20" s="3" t="s">
        <v>157</v>
      </c>
      <c r="B20" s="3" t="s">
        <v>311</v>
      </c>
      <c r="C20" s="3" t="s">
        <v>33</v>
      </c>
      <c r="D20" s="3" t="s">
        <v>24</v>
      </c>
      <c r="E20" s="3" t="s">
        <v>277</v>
      </c>
      <c r="F20" s="3" t="s">
        <v>312</v>
      </c>
    </row>
    <row r="21" customFormat="false" ht="15" hidden="false" customHeight="false" outlineLevel="0" collapsed="false">
      <c r="A21" s="3" t="s">
        <v>160</v>
      </c>
      <c r="B21" s="3" t="s">
        <v>159</v>
      </c>
      <c r="C21" s="3" t="s">
        <v>33</v>
      </c>
      <c r="D21" s="3" t="s">
        <v>24</v>
      </c>
      <c r="E21" s="3" t="s">
        <v>277</v>
      </c>
      <c r="F21" s="3" t="s">
        <v>313</v>
      </c>
    </row>
    <row r="22" customFormat="false" ht="15" hidden="false" customHeight="false" outlineLevel="0" collapsed="false">
      <c r="A22" s="3" t="s">
        <v>119</v>
      </c>
      <c r="B22" s="3" t="s">
        <v>118</v>
      </c>
      <c r="C22" s="3" t="s">
        <v>27</v>
      </c>
      <c r="D22" s="3" t="s">
        <v>24</v>
      </c>
      <c r="E22" s="3" t="s">
        <v>293</v>
      </c>
      <c r="F22" s="3" t="s">
        <v>314</v>
      </c>
    </row>
    <row r="23" customFormat="false" ht="15" hidden="false" customHeight="false" outlineLevel="0" collapsed="false">
      <c r="A23" s="3" t="s">
        <v>123</v>
      </c>
      <c r="B23" s="3" t="s">
        <v>122</v>
      </c>
      <c r="C23" s="3" t="s">
        <v>27</v>
      </c>
      <c r="D23" s="3" t="s">
        <v>24</v>
      </c>
      <c r="E23" s="3" t="s">
        <v>293</v>
      </c>
      <c r="F23" s="3" t="s">
        <v>315</v>
      </c>
    </row>
    <row r="24" customFormat="false" ht="15" hidden="false" customHeight="false" outlineLevel="0" collapsed="false">
      <c r="A24" s="3" t="s">
        <v>41</v>
      </c>
      <c r="B24" s="3" t="s">
        <v>40</v>
      </c>
      <c r="C24" s="3" t="s">
        <v>33</v>
      </c>
      <c r="D24" s="3" t="s">
        <v>24</v>
      </c>
      <c r="E24" s="3" t="s">
        <v>277</v>
      </c>
      <c r="F24" s="3" t="s">
        <v>316</v>
      </c>
    </row>
    <row r="25" customFormat="false" ht="15" hidden="false" customHeight="false" outlineLevel="0" collapsed="false">
      <c r="A25" s="3" t="s">
        <v>95</v>
      </c>
      <c r="B25" s="3" t="s">
        <v>94</v>
      </c>
      <c r="C25" s="3" t="s">
        <v>33</v>
      </c>
      <c r="D25" s="3" t="s">
        <v>24</v>
      </c>
      <c r="E25" s="3" t="s">
        <v>293</v>
      </c>
      <c r="F25" s="3" t="s">
        <v>317</v>
      </c>
    </row>
    <row r="26" customFormat="false" ht="15" hidden="false" customHeight="false" outlineLevel="0" collapsed="false">
      <c r="A26" s="3" t="s">
        <v>57</v>
      </c>
      <c r="B26" s="3" t="s">
        <v>56</v>
      </c>
      <c r="C26" s="3" t="s">
        <v>33</v>
      </c>
      <c r="D26" s="3" t="s">
        <v>24</v>
      </c>
      <c r="E26" s="3" t="s">
        <v>293</v>
      </c>
      <c r="F26" s="3" t="s">
        <v>317</v>
      </c>
    </row>
    <row r="27" customFormat="false" ht="15" hidden="false" customHeight="false" outlineLevel="0" collapsed="false">
      <c r="A27" s="3" t="s">
        <v>66</v>
      </c>
      <c r="B27" s="3" t="s">
        <v>65</v>
      </c>
      <c r="C27" s="3" t="s">
        <v>33</v>
      </c>
      <c r="D27" s="3" t="s">
        <v>24</v>
      </c>
      <c r="E27" s="3" t="s">
        <v>293</v>
      </c>
      <c r="F27" s="3" t="s">
        <v>317</v>
      </c>
    </row>
    <row r="28" customFormat="false" ht="15" hidden="false" customHeight="false" outlineLevel="0" collapsed="false">
      <c r="A28" s="3" t="s">
        <v>99</v>
      </c>
      <c r="B28" s="3" t="s">
        <v>98</v>
      </c>
      <c r="C28" s="3" t="s">
        <v>33</v>
      </c>
      <c r="D28" s="3" t="s">
        <v>24</v>
      </c>
      <c r="E28" s="3" t="s">
        <v>293</v>
      </c>
      <c r="F28" s="3" t="s">
        <v>318</v>
      </c>
    </row>
    <row r="29" customFormat="false" ht="15" hidden="false" customHeight="false" outlineLevel="0" collapsed="false">
      <c r="A29" s="3" t="s">
        <v>30</v>
      </c>
      <c r="B29" s="3" t="s">
        <v>29</v>
      </c>
      <c r="C29" s="3" t="s">
        <v>33</v>
      </c>
      <c r="D29" s="3" t="s">
        <v>24</v>
      </c>
      <c r="E29" s="3" t="s">
        <v>277</v>
      </c>
      <c r="F29" s="3" t="s">
        <v>319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404040"/>
    <pageSetUpPr fitToPage="false"/>
  </sheetPr>
  <dimension ref="A1:C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24"/>
    <col collapsed="false" customWidth="true" hidden="false" outlineLevel="0" max="3" min="3" style="0" width="100"/>
  </cols>
  <sheetData>
    <row r="1" customFormat="false" ht="15" hidden="false" customHeight="false" outlineLevel="0" collapsed="false">
      <c r="A1" s="1" t="s">
        <v>320</v>
      </c>
      <c r="B1" s="1" t="s">
        <v>321</v>
      </c>
      <c r="C1" s="1" t="s">
        <v>322</v>
      </c>
    </row>
    <row r="2" customFormat="false" ht="15" hidden="false" customHeight="false" outlineLevel="0" collapsed="false">
      <c r="A2" s="7" t="s">
        <v>323</v>
      </c>
      <c r="B2" s="3" t="s">
        <v>324</v>
      </c>
      <c r="C2" s="3" t="s">
        <v>325</v>
      </c>
    </row>
    <row r="3" customFormat="false" ht="15" hidden="false" customHeight="false" outlineLevel="0" collapsed="false">
      <c r="A3" s="7" t="s">
        <v>323</v>
      </c>
      <c r="B3" s="3" t="s">
        <v>326</v>
      </c>
      <c r="C3" s="3" t="s">
        <v>327</v>
      </c>
    </row>
    <row r="4" customFormat="false" ht="15" hidden="false" customHeight="false" outlineLevel="0" collapsed="false">
      <c r="A4" s="7" t="s">
        <v>323</v>
      </c>
      <c r="B4" s="3" t="s">
        <v>328</v>
      </c>
      <c r="C4" s="3" t="s">
        <v>329</v>
      </c>
    </row>
    <row r="5" customFormat="false" ht="15" hidden="false" customHeight="false" outlineLevel="0" collapsed="false">
      <c r="A5" s="7" t="s">
        <v>323</v>
      </c>
      <c r="B5" s="3" t="s">
        <v>330</v>
      </c>
      <c r="C5" s="3" t="s">
        <v>331</v>
      </c>
    </row>
    <row r="6" customFormat="false" ht="15" hidden="false" customHeight="false" outlineLevel="0" collapsed="false">
      <c r="A6" s="7" t="s">
        <v>323</v>
      </c>
      <c r="B6" s="3" t="s">
        <v>332</v>
      </c>
      <c r="C6" s="3" t="s">
        <v>333</v>
      </c>
    </row>
    <row r="7" customFormat="false" ht="15" hidden="false" customHeight="false" outlineLevel="0" collapsed="false">
      <c r="A7" s="7" t="s">
        <v>334</v>
      </c>
      <c r="B7" s="3" t="s">
        <v>335</v>
      </c>
      <c r="C7" s="3" t="s">
        <v>336</v>
      </c>
    </row>
    <row r="8" customFormat="false" ht="15" hidden="false" customHeight="false" outlineLevel="0" collapsed="false">
      <c r="A8" s="7" t="s">
        <v>334</v>
      </c>
      <c r="B8" s="3" t="s">
        <v>337</v>
      </c>
      <c r="C8" s="3" t="s">
        <v>338</v>
      </c>
    </row>
    <row r="9" customFormat="false" ht="15" hidden="false" customHeight="false" outlineLevel="0" collapsed="false">
      <c r="A9" s="7" t="s">
        <v>334</v>
      </c>
      <c r="B9" s="3" t="s">
        <v>339</v>
      </c>
      <c r="C9" s="3" t="s">
        <v>340</v>
      </c>
    </row>
    <row r="10" customFormat="false" ht="15" hidden="false" customHeight="false" outlineLevel="0" collapsed="false">
      <c r="A10" s="7" t="s">
        <v>334</v>
      </c>
      <c r="B10" s="3" t="s">
        <v>341</v>
      </c>
      <c r="C10" s="3" t="s">
        <v>342</v>
      </c>
    </row>
    <row r="11" customFormat="false" ht="15" hidden="false" customHeight="false" outlineLevel="0" collapsed="false">
      <c r="A11" s="7" t="s">
        <v>343</v>
      </c>
      <c r="B11" s="3" t="s">
        <v>344</v>
      </c>
      <c r="C11" s="3" t="s">
        <v>345</v>
      </c>
    </row>
    <row r="12" customFormat="false" ht="15" hidden="false" customHeight="false" outlineLevel="0" collapsed="false">
      <c r="A12" s="7" t="s">
        <v>343</v>
      </c>
      <c r="B12" s="3" t="s">
        <v>346</v>
      </c>
      <c r="C12" s="3" t="s">
        <v>347</v>
      </c>
    </row>
    <row r="13" customFormat="false" ht="15" hidden="false" customHeight="false" outlineLevel="0" collapsed="false">
      <c r="A13" s="7" t="s">
        <v>343</v>
      </c>
      <c r="B13" s="3" t="s">
        <v>27</v>
      </c>
      <c r="C13" s="3" t="s">
        <v>348</v>
      </c>
    </row>
    <row r="14" customFormat="false" ht="15" hidden="false" customHeight="false" outlineLevel="0" collapsed="false">
      <c r="A14" s="7" t="s">
        <v>343</v>
      </c>
      <c r="B14" s="3" t="s">
        <v>349</v>
      </c>
      <c r="C14" s="3" t="s">
        <v>350</v>
      </c>
    </row>
    <row r="15" customFormat="false" ht="15" hidden="false" customHeight="false" outlineLevel="0" collapsed="false">
      <c r="A15" s="7" t="s">
        <v>351</v>
      </c>
      <c r="B15" s="3" t="s">
        <v>165</v>
      </c>
      <c r="C15" s="3" t="s">
        <v>352</v>
      </c>
    </row>
    <row r="16" customFormat="false" ht="15" hidden="false" customHeight="false" outlineLevel="0" collapsed="false">
      <c r="A16" s="7" t="s">
        <v>353</v>
      </c>
      <c r="B16" s="3" t="s">
        <v>209</v>
      </c>
      <c r="C16" s="3" t="s">
        <v>354</v>
      </c>
    </row>
    <row r="17" customFormat="false" ht="15" hidden="false" customHeight="false" outlineLevel="0" collapsed="false">
      <c r="A17" s="7" t="s">
        <v>355</v>
      </c>
      <c r="B17" s="3" t="s">
        <v>356</v>
      </c>
      <c r="C17" s="3" t="s">
        <v>357</v>
      </c>
    </row>
    <row r="18" customFormat="false" ht="15" hidden="false" customHeight="false" outlineLevel="0" collapsed="false">
      <c r="A18" s="7" t="s">
        <v>355</v>
      </c>
      <c r="B18" s="3" t="s">
        <v>158</v>
      </c>
      <c r="C18" s="3" t="s">
        <v>358</v>
      </c>
    </row>
    <row r="19" customFormat="false" ht="15" hidden="false" customHeight="false" outlineLevel="0" collapsed="false">
      <c r="A19" s="7" t="s">
        <v>355</v>
      </c>
      <c r="B19" s="3" t="s">
        <v>359</v>
      </c>
      <c r="C19" s="3" t="s">
        <v>360</v>
      </c>
    </row>
    <row r="20" customFormat="false" ht="15" hidden="false" customHeight="false" outlineLevel="0" collapsed="false">
      <c r="A20" s="7" t="s">
        <v>361</v>
      </c>
      <c r="B20" s="3" t="s">
        <v>362</v>
      </c>
      <c r="C20" s="3" t="s">
        <v>363</v>
      </c>
    </row>
    <row r="21" customFormat="false" ht="15" hidden="false" customHeight="false" outlineLevel="0" collapsed="false">
      <c r="A21" s="7" t="s">
        <v>361</v>
      </c>
      <c r="B21" s="3" t="s">
        <v>364</v>
      </c>
      <c r="C21" s="3" t="s">
        <v>365</v>
      </c>
    </row>
    <row r="22" customFormat="false" ht="15" hidden="false" customHeight="false" outlineLevel="0" collapsed="false">
      <c r="A22" s="7" t="s">
        <v>361</v>
      </c>
      <c r="B22" s="3" t="s">
        <v>27</v>
      </c>
      <c r="C22" s="3" t="s">
        <v>366</v>
      </c>
    </row>
    <row r="23" customFormat="false" ht="15" hidden="false" customHeight="false" outlineLevel="0" collapsed="false">
      <c r="A23" s="7" t="s">
        <v>367</v>
      </c>
      <c r="B23" s="3" t="s">
        <v>368</v>
      </c>
      <c r="C23" s="3" t="s">
        <v>369</v>
      </c>
    </row>
    <row r="24" customFormat="false" ht="15" hidden="false" customHeight="false" outlineLevel="0" collapsed="false">
      <c r="A24" s="7" t="s">
        <v>367</v>
      </c>
      <c r="B24" s="3" t="s">
        <v>370</v>
      </c>
      <c r="C24" s="3" t="s">
        <v>371</v>
      </c>
    </row>
    <row r="25" customFormat="false" ht="15" hidden="false" customHeight="false" outlineLevel="0" collapsed="false">
      <c r="A25" s="7" t="s">
        <v>367</v>
      </c>
      <c r="B25" s="3" t="s">
        <v>372</v>
      </c>
      <c r="C25" s="3" t="s">
        <v>373</v>
      </c>
    </row>
    <row r="26" customFormat="false" ht="15" hidden="false" customHeight="false" outlineLevel="0" collapsed="false">
      <c r="A26" s="7" t="s">
        <v>367</v>
      </c>
      <c r="B26" s="3" t="s">
        <v>374</v>
      </c>
      <c r="C26" s="3" t="s">
        <v>375</v>
      </c>
    </row>
    <row r="27" customFormat="false" ht="64.15" hidden="false" customHeight="false" outlineLevel="0" collapsed="false">
      <c r="A27" s="7" t="s">
        <v>376</v>
      </c>
      <c r="B27" s="3" t="s">
        <v>377</v>
      </c>
      <c r="C27" s="3" t="s">
        <v>378</v>
      </c>
    </row>
    <row r="28" customFormat="false" ht="15" hidden="false" customHeight="false" outlineLevel="0" collapsed="false">
      <c r="A28" s="7" t="s">
        <v>379</v>
      </c>
      <c r="B28" s="3" t="s">
        <v>165</v>
      </c>
      <c r="C28" s="3" t="s">
        <v>380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0B050"/>
    <pageSetUpPr fitToPage="false"/>
  </sheetPr>
  <dimension ref="A1:G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12"/>
    <col collapsed="false" customWidth="true" hidden="false" outlineLevel="0" max="4" min="3" style="0" width="18"/>
    <col collapsed="false" customWidth="true" hidden="false" outlineLevel="0" max="6" min="5" style="0" width="14"/>
    <col collapsed="false" customWidth="true" hidden="false" outlineLevel="0" max="7" min="7" style="0" width="40"/>
  </cols>
  <sheetData>
    <row r="1" customFormat="false" ht="15" hidden="false" customHeight="false" outlineLevel="0" collapsed="false">
      <c r="A1" s="1" t="s">
        <v>0</v>
      </c>
      <c r="B1" s="1" t="s">
        <v>381</v>
      </c>
      <c r="C1" s="1" t="s">
        <v>382</v>
      </c>
      <c r="D1" s="1" t="s">
        <v>383</v>
      </c>
      <c r="E1" s="1" t="s">
        <v>384</v>
      </c>
      <c r="F1" s="1" t="s">
        <v>385</v>
      </c>
      <c r="G1" s="1" t="s">
        <v>8</v>
      </c>
    </row>
    <row r="2" customFormat="false" ht="15" hidden="false" customHeight="false" outlineLevel="0" collapsed="false">
      <c r="A2" s="3" t="s">
        <v>386</v>
      </c>
      <c r="B2" s="3" t="n">
        <v>5</v>
      </c>
      <c r="C2" s="3" t="n">
        <v>600</v>
      </c>
      <c r="D2" s="3" t="n">
        <v>1000</v>
      </c>
      <c r="E2" s="8" t="n">
        <f aca="false">B2*C2/1000</f>
        <v>3</v>
      </c>
      <c r="F2" s="8" t="n">
        <f aca="false">B2*D2/1000</f>
        <v>5</v>
      </c>
      <c r="G2" s="3" t="s">
        <v>387</v>
      </c>
    </row>
    <row r="3" customFormat="false" ht="15" hidden="false" customHeight="false" outlineLevel="0" collapsed="false">
      <c r="A3" s="3" t="s">
        <v>388</v>
      </c>
      <c r="B3" s="3" t="n">
        <v>5</v>
      </c>
      <c r="C3" s="3" t="n">
        <v>1000</v>
      </c>
      <c r="D3" s="3" t="n">
        <v>2000</v>
      </c>
      <c r="E3" s="8" t="n">
        <f aca="false">B3*C3/1000</f>
        <v>5</v>
      </c>
      <c r="F3" s="8" t="n">
        <f aca="false">B3*D3/1000</f>
        <v>10</v>
      </c>
      <c r="G3" s="3" t="s">
        <v>389</v>
      </c>
    </row>
    <row r="4" customFormat="false" ht="15" hidden="false" customHeight="false" outlineLevel="0" collapsed="false">
      <c r="A4" s="3" t="s">
        <v>390</v>
      </c>
      <c r="B4" s="3" t="n">
        <v>3.3</v>
      </c>
      <c r="C4" s="3" t="n">
        <v>500</v>
      </c>
      <c r="D4" s="3" t="n">
        <v>900</v>
      </c>
      <c r="E4" s="8" t="n">
        <f aca="false">B4*C4/1000</f>
        <v>1.65</v>
      </c>
      <c r="F4" s="8" t="n">
        <f aca="false">B4*D4/1000</f>
        <v>2.97</v>
      </c>
      <c r="G4" s="3" t="s">
        <v>391</v>
      </c>
    </row>
    <row r="5" customFormat="false" ht="15" hidden="false" customHeight="false" outlineLevel="0" collapsed="false">
      <c r="A5" s="3" t="s">
        <v>392</v>
      </c>
      <c r="B5" s="3" t="n">
        <v>3.3</v>
      </c>
      <c r="C5" s="3" t="n">
        <v>10</v>
      </c>
      <c r="D5" s="3" t="n">
        <v>30</v>
      </c>
      <c r="E5" s="8" t="n">
        <f aca="false">B5*C5/1000</f>
        <v>0.033</v>
      </c>
      <c r="F5" s="8" t="n">
        <f aca="false">B5*D5/1000</f>
        <v>0.099</v>
      </c>
      <c r="G5" s="3" t="s">
        <v>393</v>
      </c>
    </row>
    <row r="6" customFormat="false" ht="15" hidden="false" customHeight="false" outlineLevel="0" collapsed="false">
      <c r="A6" s="3" t="s">
        <v>206</v>
      </c>
      <c r="B6" s="3" t="n">
        <v>5</v>
      </c>
      <c r="C6" s="3" t="n">
        <v>60</v>
      </c>
      <c r="D6" s="3" t="n">
        <v>100</v>
      </c>
      <c r="E6" s="8" t="n">
        <f aca="false">B6*C6/1000</f>
        <v>0.3</v>
      </c>
      <c r="F6" s="8" t="n">
        <f aca="false">B6*D6/1000</f>
        <v>0.5</v>
      </c>
      <c r="G6" s="3" t="s">
        <v>394</v>
      </c>
    </row>
    <row r="7" customFormat="false" ht="15" hidden="false" customHeight="false" outlineLevel="0" collapsed="false">
      <c r="A7" s="3" t="s">
        <v>395</v>
      </c>
      <c r="B7" s="3" t="n">
        <v>3.3</v>
      </c>
      <c r="C7" s="3" t="n">
        <v>25</v>
      </c>
      <c r="D7" s="3" t="n">
        <v>50</v>
      </c>
      <c r="E7" s="8" t="n">
        <f aca="false">B7*C7/1000</f>
        <v>0.0825</v>
      </c>
      <c r="F7" s="8" t="n">
        <f aca="false">B7*D7/1000</f>
        <v>0.165</v>
      </c>
      <c r="G7" s="3" t="s">
        <v>396</v>
      </c>
    </row>
    <row r="8" customFormat="false" ht="15" hidden="false" customHeight="false" outlineLevel="0" collapsed="false">
      <c r="A8" s="3" t="s">
        <v>224</v>
      </c>
      <c r="B8" s="3" t="n">
        <v>3.3</v>
      </c>
      <c r="C8" s="3" t="n">
        <v>0.2</v>
      </c>
      <c r="D8" s="3" t="n">
        <v>0.5</v>
      </c>
      <c r="E8" s="8" t="n">
        <f aca="false">B8*C8/1000</f>
        <v>0.00066</v>
      </c>
      <c r="F8" s="8" t="n">
        <f aca="false">B8*D8/1000</f>
        <v>0.00165</v>
      </c>
      <c r="G8" s="3" t="s">
        <v>397</v>
      </c>
    </row>
    <row r="9" customFormat="false" ht="15" hidden="false" customHeight="false" outlineLevel="0" collapsed="false">
      <c r="A9" s="3" t="s">
        <v>226</v>
      </c>
      <c r="B9" s="3" t="n">
        <v>3.3</v>
      </c>
      <c r="C9" s="3" t="n">
        <v>0.7</v>
      </c>
      <c r="D9" s="3" t="n">
        <v>1</v>
      </c>
      <c r="E9" s="8" t="n">
        <f aca="false">B9*C9/1000</f>
        <v>0.00231</v>
      </c>
      <c r="F9" s="8" t="n">
        <f aca="false">B9*D9/1000</f>
        <v>0.0033</v>
      </c>
      <c r="G9" s="3" t="s">
        <v>398</v>
      </c>
    </row>
    <row r="10" customFormat="false" ht="15" hidden="false" customHeight="false" outlineLevel="0" collapsed="false">
      <c r="A10" s="3" t="s">
        <v>229</v>
      </c>
      <c r="B10" s="3" t="n">
        <v>3.3</v>
      </c>
      <c r="C10" s="3" t="n">
        <v>0.4</v>
      </c>
      <c r="D10" s="3" t="n">
        <v>1</v>
      </c>
      <c r="E10" s="8" t="n">
        <f aca="false">B10*C10/1000</f>
        <v>0.00132</v>
      </c>
      <c r="F10" s="8" t="n">
        <f aca="false">B10*D10/1000</f>
        <v>0.0033</v>
      </c>
      <c r="G10" s="3" t="s">
        <v>399</v>
      </c>
    </row>
    <row r="11" customFormat="false" ht="15" hidden="false" customHeight="false" outlineLevel="0" collapsed="false">
      <c r="A11" s="3" t="s">
        <v>193</v>
      </c>
      <c r="B11" s="3" t="n">
        <v>3.3</v>
      </c>
      <c r="C11" s="3" t="n">
        <v>0.7</v>
      </c>
      <c r="D11" s="3" t="n">
        <v>1.5</v>
      </c>
      <c r="E11" s="8" t="n">
        <f aca="false">B11*C11/1000</f>
        <v>0.00231</v>
      </c>
      <c r="F11" s="8" t="n">
        <f aca="false">B11*D11/1000</f>
        <v>0.00495</v>
      </c>
      <c r="G11" s="3" t="s">
        <v>400</v>
      </c>
    </row>
    <row r="12" customFormat="false" ht="15" hidden="false" customHeight="false" outlineLevel="0" collapsed="false">
      <c r="A12" s="3" t="s">
        <v>401</v>
      </c>
      <c r="B12" s="3" t="n">
        <v>3.7</v>
      </c>
      <c r="C12" s="3" t="n">
        <v>3</v>
      </c>
      <c r="D12" s="3" t="n">
        <v>3</v>
      </c>
      <c r="E12" s="8" t="n">
        <f aca="false">B12*C12/1000</f>
        <v>0.0111</v>
      </c>
      <c r="F12" s="8" t="n">
        <f aca="false">B12*D12/1000</f>
        <v>0.0111</v>
      </c>
      <c r="G12" s="3" t="s">
        <v>402</v>
      </c>
    </row>
    <row r="13" customFormat="false" ht="15" hidden="false" customHeight="false" outlineLevel="0" collapsed="false">
      <c r="A13" s="3" t="s">
        <v>222</v>
      </c>
      <c r="B13" s="3" t="n">
        <v>3.3</v>
      </c>
      <c r="C13" s="3" t="n">
        <v>0.023</v>
      </c>
      <c r="D13" s="3" t="n">
        <v>0.05</v>
      </c>
      <c r="E13" s="8" t="n">
        <f aca="false">B13*C13/1000</f>
        <v>7.59E-005</v>
      </c>
      <c r="F13" s="8" t="n">
        <f aca="false">B13*D13/1000</f>
        <v>0.000165</v>
      </c>
      <c r="G13" s="3" t="s">
        <v>403</v>
      </c>
    </row>
    <row r="14" customFormat="false" ht="15" hidden="false" customHeight="false" outlineLevel="0" collapsed="false">
      <c r="A14" s="3" t="s">
        <v>404</v>
      </c>
      <c r="B14" s="3" t="n">
        <v>3.3</v>
      </c>
      <c r="C14" s="3" t="n">
        <v>0.0005</v>
      </c>
      <c r="D14" s="3" t="n">
        <v>0.001</v>
      </c>
      <c r="E14" s="8" t="n">
        <f aca="false">B14*C14/1000</f>
        <v>1.65E-006</v>
      </c>
      <c r="F14" s="8" t="n">
        <f aca="false">B14*D14/1000</f>
        <v>3.3E-006</v>
      </c>
      <c r="G14" s="3" t="s">
        <v>405</v>
      </c>
    </row>
    <row r="15" customFormat="false" ht="15" hidden="false" customHeight="false" outlineLevel="0" collapsed="false">
      <c r="A15" s="3" t="s">
        <v>406</v>
      </c>
      <c r="B15" s="3" t="n">
        <v>3.3</v>
      </c>
      <c r="C15" s="3" t="n">
        <v>2</v>
      </c>
      <c r="D15" s="3" t="n">
        <v>5</v>
      </c>
      <c r="E15" s="8" t="n">
        <f aca="false">B15*C15/1000</f>
        <v>0.0066</v>
      </c>
      <c r="F15" s="8" t="n">
        <f aca="false">B15*D15/1000</f>
        <v>0.0165</v>
      </c>
      <c r="G15" s="3" t="s">
        <v>407</v>
      </c>
    </row>
    <row r="16" customFormat="false" ht="15" hidden="false" customHeight="false" outlineLevel="0" collapsed="false">
      <c r="A16" s="3" t="s">
        <v>408</v>
      </c>
      <c r="B16" s="3" t="s">
        <v>80</v>
      </c>
      <c r="C16" s="3" t="s">
        <v>80</v>
      </c>
      <c r="D16" s="3" t="s">
        <v>80</v>
      </c>
      <c r="E16" s="3"/>
      <c r="F16" s="3"/>
      <c r="G16" s="3" t="s">
        <v>409</v>
      </c>
    </row>
    <row r="17" customFormat="false" ht="15" hidden="false" customHeight="false" outlineLevel="0" collapsed="false">
      <c r="A17" s="9" t="s">
        <v>410</v>
      </c>
      <c r="E17" s="10" t="n">
        <f aca="false">SUM(E2:E16)</f>
        <v>10.08987755</v>
      </c>
      <c r="F17" s="10" t="n">
        <f aca="false">SUM(F2:F16)</f>
        <v>18.7749683</v>
      </c>
    </row>
    <row r="18" customFormat="false" ht="15" hidden="false" customHeight="false" outlineLevel="0" collapsed="false">
      <c r="A18" s="11" t="s">
        <v>411</v>
      </c>
      <c r="E18" s="12" t="n">
        <f aca="false">E17/0.9</f>
        <v>11.2109750555556</v>
      </c>
      <c r="F18" s="12" t="n">
        <f aca="false">F17/0.9</f>
        <v>20.8610758888889</v>
      </c>
    </row>
    <row r="20" customFormat="false" ht="15" hidden="false" customHeight="false" outlineLevel="0" collapsed="false">
      <c r="A20" s="9" t="s">
        <v>412</v>
      </c>
    </row>
    <row r="21" customFormat="false" ht="15" hidden="false" customHeight="false" outlineLevel="0" collapsed="false">
      <c r="A21" s="0" t="s">
        <v>413</v>
      </c>
      <c r="E21" s="13" t="n">
        <f aca="false">37/E18</f>
        <v>3.30033737624497</v>
      </c>
      <c r="F21" s="14" t="s">
        <v>414</v>
      </c>
    </row>
    <row r="22" customFormat="false" ht="15" hidden="false" customHeight="false" outlineLevel="0" collapsed="false">
      <c r="A22" s="0" t="s">
        <v>415</v>
      </c>
      <c r="E22" s="13" t="n">
        <f aca="false">37/F18</f>
        <v>1.77363814776721</v>
      </c>
      <c r="F22" s="14" t="s">
        <v>414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2026-02-12T17:51:22Z</dcterms:created>
  <dc:creator>openpyxl</dc:creator>
  <dc:description/>
  <dc:language>en-US</dc:language>
  <cp:lastModifiedBy/>
  <dcterms:modified xsi:type="dcterms:W3CDTF">2026-02-12T17:51:22Z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